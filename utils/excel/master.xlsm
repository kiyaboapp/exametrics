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roge\OneDrive\Desktop\HANDLER\DJANGO\exametrics\utils\excel\"/>
    </mc:Choice>
  </mc:AlternateContent>
  <xr:revisionPtr revIDLastSave="0" documentId="13_ncr:1_{3C19CD7A-E350-40FC-A0C8-50302349A5B1}" xr6:coauthVersionLast="47" xr6:coauthVersionMax="47" xr10:uidLastSave="{00000000-0000-0000-0000-000000000000}"/>
  <bookViews>
    <workbookView showHorizontalScroll="0" xWindow="-120" yWindow="-120" windowWidth="20730" windowHeight="11040" activeTab="3" xr2:uid="{81502461-A4A6-4D90-9480-DE92ED817A1B}"/>
  </bookViews>
  <sheets>
    <sheet name="Students" sheetId="1" r:id="rId1"/>
    <sheet name="Schools" sheetId="2" r:id="rId2"/>
    <sheet name="Subjects" sheetId="3" r:id="rId3"/>
    <sheet name="Interface" sheetId="5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2" l="1"/>
  <c r="H3" i="2" s="1"/>
  <c r="G3" i="2"/>
  <c r="I3" i="2"/>
  <c r="F4" i="2"/>
  <c r="G4" i="2"/>
  <c r="F5" i="2"/>
  <c r="G5" i="2"/>
  <c r="F6" i="2"/>
  <c r="G6" i="2"/>
  <c r="I6" i="2"/>
  <c r="F7" i="2"/>
  <c r="H7" i="2" s="1"/>
  <c r="G7" i="2"/>
  <c r="I7" i="2"/>
  <c r="F8" i="2"/>
  <c r="G8" i="2"/>
  <c r="F9" i="2"/>
  <c r="G9" i="2"/>
  <c r="F10" i="2"/>
  <c r="G10" i="2"/>
  <c r="I10" i="2"/>
  <c r="F11" i="2"/>
  <c r="H11" i="2" s="1"/>
  <c r="G11" i="2"/>
  <c r="I11" i="2"/>
  <c r="F12" i="2"/>
  <c r="G12" i="2"/>
  <c r="F13" i="2"/>
  <c r="G13" i="2"/>
  <c r="F14" i="2"/>
  <c r="G14" i="2"/>
  <c r="I14" i="2"/>
  <c r="F15" i="2"/>
  <c r="H15" i="2" s="1"/>
  <c r="G15" i="2"/>
  <c r="I15" i="2"/>
  <c r="F16" i="2"/>
  <c r="G16" i="2"/>
  <c r="F17" i="2"/>
  <c r="G17" i="2"/>
  <c r="F18" i="2"/>
  <c r="G18" i="2"/>
  <c r="I18" i="2"/>
  <c r="F19" i="2"/>
  <c r="H19" i="2" s="1"/>
  <c r="G19" i="2"/>
  <c r="I19" i="2"/>
  <c r="F20" i="2"/>
  <c r="G20" i="2"/>
  <c r="F21" i="2"/>
  <c r="G21" i="2"/>
  <c r="F22" i="2"/>
  <c r="G22" i="2"/>
  <c r="I22" i="2"/>
  <c r="F23" i="2"/>
  <c r="H23" i="2" s="1"/>
  <c r="G23" i="2"/>
  <c r="I23" i="2"/>
  <c r="F24" i="2"/>
  <c r="G24" i="2"/>
  <c r="F25" i="2"/>
  <c r="G25" i="2"/>
  <c r="F26" i="2"/>
  <c r="G26" i="2"/>
  <c r="I26" i="2"/>
  <c r="F27" i="2"/>
  <c r="H27" i="2" s="1"/>
  <c r="G27" i="2"/>
  <c r="I27" i="2"/>
  <c r="F28" i="2"/>
  <c r="G28" i="2"/>
  <c r="F29" i="2"/>
  <c r="G29" i="2"/>
  <c r="F30" i="2"/>
  <c r="G30" i="2"/>
  <c r="I30" i="2"/>
  <c r="F31" i="2"/>
  <c r="H31" i="2" s="1"/>
  <c r="G31" i="2"/>
  <c r="I31" i="2"/>
  <c r="F32" i="2"/>
  <c r="G32" i="2"/>
  <c r="F33" i="2"/>
  <c r="G33" i="2"/>
  <c r="F34" i="2"/>
  <c r="G34" i="2"/>
  <c r="I34" i="2"/>
  <c r="F35" i="2"/>
  <c r="H35" i="2" s="1"/>
  <c r="G35" i="2"/>
  <c r="I35" i="2"/>
  <c r="F36" i="2"/>
  <c r="G36" i="2"/>
  <c r="F37" i="2"/>
  <c r="G37" i="2"/>
  <c r="F38" i="2"/>
  <c r="G38" i="2"/>
  <c r="I38" i="2"/>
  <c r="F39" i="2"/>
  <c r="H39" i="2" s="1"/>
  <c r="G39" i="2"/>
  <c r="I39" i="2"/>
  <c r="F40" i="2"/>
  <c r="G40" i="2"/>
  <c r="F41" i="2"/>
  <c r="G41" i="2"/>
  <c r="F42" i="2"/>
  <c r="G42" i="2"/>
  <c r="I42" i="2"/>
  <c r="F43" i="2"/>
  <c r="H43" i="2" s="1"/>
  <c r="G43" i="2"/>
  <c r="I43" i="2"/>
  <c r="F44" i="2"/>
  <c r="G44" i="2"/>
  <c r="F45" i="2"/>
  <c r="G45" i="2"/>
  <c r="F46" i="2"/>
  <c r="G46" i="2"/>
  <c r="I46" i="2"/>
  <c r="F47" i="2"/>
  <c r="H47" i="2" s="1"/>
  <c r="G47" i="2"/>
  <c r="I47" i="2"/>
  <c r="F48" i="2"/>
  <c r="G48" i="2"/>
  <c r="F49" i="2"/>
  <c r="G49" i="2"/>
  <c r="F50" i="2"/>
  <c r="G50" i="2"/>
  <c r="I50" i="2"/>
  <c r="F51" i="2"/>
  <c r="H51" i="2" s="1"/>
  <c r="G51" i="2"/>
  <c r="I51" i="2"/>
  <c r="F52" i="2"/>
  <c r="G52" i="2"/>
  <c r="F53" i="2"/>
  <c r="G53" i="2"/>
  <c r="F54" i="2"/>
  <c r="G54" i="2"/>
  <c r="I54" i="2"/>
  <c r="F55" i="2"/>
  <c r="H55" i="2" s="1"/>
  <c r="G55" i="2"/>
  <c r="I55" i="2"/>
  <c r="F56" i="2"/>
  <c r="G56" i="2"/>
  <c r="F57" i="2"/>
  <c r="G57" i="2"/>
  <c r="F58" i="2"/>
  <c r="G58" i="2"/>
  <c r="I58" i="2"/>
  <c r="F59" i="2"/>
  <c r="H59" i="2" s="1"/>
  <c r="G59" i="2"/>
  <c r="I59" i="2"/>
  <c r="F60" i="2"/>
  <c r="G60" i="2"/>
  <c r="F61" i="2"/>
  <c r="G61" i="2"/>
  <c r="F62" i="2"/>
  <c r="G62" i="2"/>
  <c r="I62" i="2"/>
  <c r="F63" i="2"/>
  <c r="H63" i="2" s="1"/>
  <c r="G63" i="2"/>
  <c r="I63" i="2"/>
  <c r="F64" i="2"/>
  <c r="G64" i="2"/>
  <c r="F65" i="2"/>
  <c r="H65" i="2" s="1"/>
  <c r="G65" i="2"/>
  <c r="F66" i="2"/>
  <c r="G66" i="2"/>
  <c r="I66" i="2" s="1"/>
  <c r="F67" i="2"/>
  <c r="H67" i="2" s="1"/>
  <c r="G67" i="2"/>
  <c r="I67" i="2"/>
  <c r="F68" i="2"/>
  <c r="G68" i="2"/>
  <c r="F69" i="2"/>
  <c r="G69" i="2"/>
  <c r="F70" i="2"/>
  <c r="G70" i="2"/>
  <c r="I70" i="2"/>
  <c r="F71" i="2"/>
  <c r="H71" i="2" s="1"/>
  <c r="G71" i="2"/>
  <c r="I71" i="2"/>
  <c r="F72" i="2"/>
  <c r="G72" i="2"/>
  <c r="F73" i="2"/>
  <c r="G73" i="2"/>
  <c r="I73" i="2"/>
  <c r="F74" i="2"/>
  <c r="G74" i="2"/>
  <c r="I74" i="2"/>
  <c r="F75" i="2"/>
  <c r="H75" i="2" s="1"/>
  <c r="G75" i="2"/>
  <c r="F76" i="2"/>
  <c r="G76" i="2"/>
  <c r="F77" i="2"/>
  <c r="G77" i="2"/>
  <c r="I77" i="2"/>
  <c r="F78" i="2"/>
  <c r="G78" i="2"/>
  <c r="I78" i="2"/>
  <c r="F79" i="2"/>
  <c r="H79" i="2" s="1"/>
  <c r="G79" i="2"/>
  <c r="F80" i="2"/>
  <c r="G80" i="2"/>
  <c r="F81" i="2"/>
  <c r="H81" i="2" s="1"/>
  <c r="G81" i="2"/>
  <c r="F82" i="2"/>
  <c r="G82" i="2"/>
  <c r="I82" i="2" s="1"/>
  <c r="F83" i="2"/>
  <c r="H83" i="2" s="1"/>
  <c r="G83" i="2"/>
  <c r="I83" i="2"/>
  <c r="F84" i="2"/>
  <c r="G84" i="2"/>
  <c r="F85" i="2"/>
  <c r="G85" i="2"/>
  <c r="F86" i="2"/>
  <c r="G86" i="2"/>
  <c r="I86" i="2"/>
  <c r="F87" i="2"/>
  <c r="H87" i="2" s="1"/>
  <c r="G87" i="2"/>
  <c r="I87" i="2"/>
  <c r="F88" i="2"/>
  <c r="H88" i="2" s="1"/>
  <c r="G88" i="2"/>
  <c r="F89" i="2"/>
  <c r="G89" i="2"/>
  <c r="F90" i="2"/>
  <c r="G90" i="2"/>
  <c r="I90" i="2"/>
  <c r="F91" i="2"/>
  <c r="G91" i="2"/>
  <c r="I91" i="2"/>
  <c r="F92" i="2"/>
  <c r="H92" i="2" s="1"/>
  <c r="G92" i="2"/>
  <c r="F93" i="2"/>
  <c r="G93" i="2"/>
  <c r="F94" i="2"/>
  <c r="G94" i="2"/>
  <c r="I94" i="2"/>
  <c r="F95" i="2"/>
  <c r="G95" i="2"/>
  <c r="I95" i="2"/>
  <c r="F96" i="2"/>
  <c r="H96" i="2" s="1"/>
  <c r="G96" i="2"/>
  <c r="F97" i="2"/>
  <c r="G97" i="2"/>
  <c r="F98" i="2"/>
  <c r="G98" i="2"/>
  <c r="I98" i="2"/>
  <c r="F99" i="2"/>
  <c r="G99" i="2"/>
  <c r="I99" i="2"/>
  <c r="F100" i="2"/>
  <c r="H100" i="2" s="1"/>
  <c r="G100" i="2"/>
  <c r="F101" i="2"/>
  <c r="G101" i="2"/>
  <c r="F102" i="2"/>
  <c r="G102" i="2"/>
  <c r="I102" i="2"/>
  <c r="F103" i="2"/>
  <c r="G103" i="2"/>
  <c r="I103" i="2"/>
  <c r="F104" i="2"/>
  <c r="H104" i="2" s="1"/>
  <c r="G104" i="2"/>
  <c r="F105" i="2"/>
  <c r="G105" i="2"/>
  <c r="F106" i="2"/>
  <c r="G106" i="2"/>
  <c r="I106" i="2"/>
  <c r="F107" i="2"/>
  <c r="G107" i="2"/>
  <c r="I107" i="2"/>
  <c r="F108" i="2"/>
  <c r="H108" i="2" s="1"/>
  <c r="G108" i="2"/>
  <c r="F109" i="2"/>
  <c r="G109" i="2"/>
  <c r="F110" i="2"/>
  <c r="G110" i="2"/>
  <c r="I110" i="2"/>
  <c r="F111" i="2"/>
  <c r="G111" i="2"/>
  <c r="I111" i="2"/>
  <c r="F112" i="2"/>
  <c r="H112" i="2" s="1"/>
  <c r="G112" i="2"/>
  <c r="F113" i="2"/>
  <c r="G113" i="2"/>
  <c r="F114" i="2"/>
  <c r="G114" i="2"/>
  <c r="I114" i="2"/>
  <c r="F115" i="2"/>
  <c r="G115" i="2"/>
  <c r="I115" i="2"/>
  <c r="F116" i="2"/>
  <c r="H116" i="2" s="1"/>
  <c r="G116" i="2"/>
  <c r="F117" i="2"/>
  <c r="G117" i="2"/>
  <c r="F118" i="2"/>
  <c r="G118" i="2"/>
  <c r="I118" i="2"/>
  <c r="F119" i="2"/>
  <c r="G119" i="2"/>
  <c r="I119" i="2"/>
  <c r="F120" i="2"/>
  <c r="H120" i="2" s="1"/>
  <c r="G120" i="2"/>
  <c r="F121" i="2"/>
  <c r="G121" i="2"/>
  <c r="F122" i="2"/>
  <c r="G122" i="2"/>
  <c r="I122" i="2"/>
  <c r="F123" i="2"/>
  <c r="G123" i="2"/>
  <c r="I123" i="2"/>
  <c r="F124" i="2"/>
  <c r="H124" i="2" s="1"/>
  <c r="G124" i="2"/>
  <c r="F125" i="2"/>
  <c r="G125" i="2"/>
  <c r="F126" i="2"/>
  <c r="G126" i="2"/>
  <c r="I126" i="2"/>
  <c r="F127" i="2"/>
  <c r="G127" i="2"/>
  <c r="I127" i="2"/>
  <c r="F128" i="2"/>
  <c r="H128" i="2" s="1"/>
  <c r="G128" i="2"/>
  <c r="F129" i="2"/>
  <c r="G129" i="2"/>
  <c r="F130" i="2"/>
  <c r="G130" i="2"/>
  <c r="I130" i="2"/>
  <c r="F131" i="2"/>
  <c r="G131" i="2"/>
  <c r="H131" i="2"/>
  <c r="I131" i="2"/>
  <c r="F132" i="2"/>
  <c r="G132" i="2"/>
  <c r="H132" i="2"/>
  <c r="I132" i="2"/>
  <c r="F133" i="2"/>
  <c r="G133" i="2"/>
  <c r="H133" i="2"/>
  <c r="I133" i="2"/>
  <c r="F134" i="2"/>
  <c r="G134" i="2"/>
  <c r="H134" i="2"/>
  <c r="I134" i="2"/>
  <c r="F135" i="2"/>
  <c r="G135" i="2"/>
  <c r="H135" i="2"/>
  <c r="I135" i="2"/>
  <c r="F136" i="2"/>
  <c r="G136" i="2"/>
  <c r="H136" i="2"/>
  <c r="I136" i="2"/>
  <c r="F137" i="2"/>
  <c r="G137" i="2"/>
  <c r="H137" i="2"/>
  <c r="I137" i="2"/>
  <c r="F138" i="2"/>
  <c r="G138" i="2"/>
  <c r="H138" i="2"/>
  <c r="I138" i="2"/>
  <c r="F139" i="2"/>
  <c r="G139" i="2"/>
  <c r="H139" i="2"/>
  <c r="I139" i="2"/>
  <c r="F140" i="2"/>
  <c r="G140" i="2"/>
  <c r="H140" i="2"/>
  <c r="I140" i="2"/>
  <c r="F141" i="2"/>
  <c r="G141" i="2"/>
  <c r="H141" i="2"/>
  <c r="I141" i="2"/>
  <c r="F142" i="2"/>
  <c r="G142" i="2"/>
  <c r="H142" i="2"/>
  <c r="I142" i="2"/>
  <c r="F143" i="2"/>
  <c r="G143" i="2"/>
  <c r="H143" i="2"/>
  <c r="I143" i="2"/>
  <c r="F144" i="2"/>
  <c r="G144" i="2"/>
  <c r="H144" i="2"/>
  <c r="I144" i="2"/>
  <c r="F145" i="2"/>
  <c r="G145" i="2"/>
  <c r="H145" i="2"/>
  <c r="I145" i="2"/>
  <c r="F146" i="2"/>
  <c r="G146" i="2"/>
  <c r="H146" i="2"/>
  <c r="I146" i="2"/>
  <c r="F147" i="2"/>
  <c r="G147" i="2"/>
  <c r="H147" i="2"/>
  <c r="I147" i="2"/>
  <c r="F148" i="2"/>
  <c r="G148" i="2"/>
  <c r="H148" i="2"/>
  <c r="I148" i="2"/>
  <c r="F149" i="2"/>
  <c r="G149" i="2"/>
  <c r="H149" i="2"/>
  <c r="I149" i="2"/>
  <c r="F150" i="2"/>
  <c r="G150" i="2"/>
  <c r="H150" i="2"/>
  <c r="I150" i="2"/>
  <c r="F151" i="2"/>
  <c r="G151" i="2"/>
  <c r="H151" i="2"/>
  <c r="I151" i="2"/>
  <c r="F152" i="2"/>
  <c r="G152" i="2"/>
  <c r="H152" i="2"/>
  <c r="I152" i="2"/>
  <c r="F153" i="2"/>
  <c r="G153" i="2"/>
  <c r="H153" i="2"/>
  <c r="I153" i="2"/>
  <c r="F154" i="2"/>
  <c r="G154" i="2"/>
  <c r="H154" i="2"/>
  <c r="I154" i="2"/>
  <c r="F155" i="2"/>
  <c r="G155" i="2"/>
  <c r="H155" i="2"/>
  <c r="I155" i="2"/>
  <c r="F156" i="2"/>
  <c r="G156" i="2"/>
  <c r="H156" i="2"/>
  <c r="I156" i="2"/>
  <c r="F157" i="2"/>
  <c r="G157" i="2"/>
  <c r="H157" i="2"/>
  <c r="I157" i="2"/>
  <c r="F158" i="2"/>
  <c r="G158" i="2"/>
  <c r="H158" i="2"/>
  <c r="I158" i="2"/>
  <c r="F159" i="2"/>
  <c r="G159" i="2"/>
  <c r="H159" i="2"/>
  <c r="I159" i="2"/>
  <c r="F160" i="2"/>
  <c r="G160" i="2"/>
  <c r="H160" i="2"/>
  <c r="I160" i="2"/>
  <c r="F161" i="2"/>
  <c r="G161" i="2"/>
  <c r="H161" i="2"/>
  <c r="I161" i="2"/>
  <c r="F162" i="2"/>
  <c r="G162" i="2"/>
  <c r="H162" i="2"/>
  <c r="I162" i="2"/>
  <c r="F163" i="2"/>
  <c r="G163" i="2"/>
  <c r="H163" i="2"/>
  <c r="I163" i="2"/>
  <c r="F164" i="2"/>
  <c r="G164" i="2"/>
  <c r="H164" i="2"/>
  <c r="I164" i="2"/>
  <c r="F165" i="2"/>
  <c r="G165" i="2"/>
  <c r="H165" i="2"/>
  <c r="I165" i="2"/>
  <c r="F166" i="2"/>
  <c r="G166" i="2"/>
  <c r="H166" i="2"/>
  <c r="I166" i="2"/>
  <c r="F167" i="2"/>
  <c r="G167" i="2"/>
  <c r="H167" i="2"/>
  <c r="I167" i="2"/>
  <c r="F168" i="2"/>
  <c r="G168" i="2"/>
  <c r="H168" i="2"/>
  <c r="I168" i="2"/>
  <c r="F169" i="2"/>
  <c r="G169" i="2"/>
  <c r="H169" i="2"/>
  <c r="I169" i="2"/>
  <c r="F170" i="2"/>
  <c r="G170" i="2"/>
  <c r="H170" i="2"/>
  <c r="I170" i="2"/>
  <c r="F171" i="2"/>
  <c r="G171" i="2"/>
  <c r="H171" i="2"/>
  <c r="I171" i="2"/>
  <c r="F172" i="2"/>
  <c r="G172" i="2"/>
  <c r="H172" i="2"/>
  <c r="I172" i="2"/>
  <c r="F173" i="2"/>
  <c r="G173" i="2"/>
  <c r="H173" i="2"/>
  <c r="I173" i="2"/>
  <c r="F174" i="2"/>
  <c r="G174" i="2"/>
  <c r="H174" i="2"/>
  <c r="I174" i="2"/>
  <c r="F175" i="2"/>
  <c r="G175" i="2"/>
  <c r="H175" i="2"/>
  <c r="I175" i="2"/>
  <c r="F176" i="2"/>
  <c r="G176" i="2"/>
  <c r="H176" i="2"/>
  <c r="I176" i="2"/>
  <c r="F177" i="2"/>
  <c r="G177" i="2"/>
  <c r="H177" i="2"/>
  <c r="I177" i="2"/>
  <c r="F178" i="2"/>
  <c r="G178" i="2"/>
  <c r="H178" i="2"/>
  <c r="I178" i="2"/>
  <c r="F179" i="2"/>
  <c r="G179" i="2"/>
  <c r="H179" i="2"/>
  <c r="I179" i="2"/>
  <c r="F180" i="2"/>
  <c r="G180" i="2"/>
  <c r="H180" i="2"/>
  <c r="I180" i="2"/>
  <c r="F181" i="2"/>
  <c r="G181" i="2"/>
  <c r="H181" i="2"/>
  <c r="I181" i="2"/>
  <c r="F182" i="2"/>
  <c r="G182" i="2"/>
  <c r="H182" i="2"/>
  <c r="I182" i="2"/>
  <c r="F183" i="2"/>
  <c r="G183" i="2"/>
  <c r="H183" i="2"/>
  <c r="I183" i="2"/>
  <c r="F184" i="2"/>
  <c r="G184" i="2"/>
  <c r="H184" i="2"/>
  <c r="I184" i="2"/>
  <c r="F185" i="2"/>
  <c r="G185" i="2"/>
  <c r="H185" i="2"/>
  <c r="I185" i="2"/>
  <c r="F186" i="2"/>
  <c r="G186" i="2"/>
  <c r="H186" i="2"/>
  <c r="I186" i="2"/>
  <c r="F187" i="2"/>
  <c r="G187" i="2"/>
  <c r="H187" i="2"/>
  <c r="I187" i="2"/>
  <c r="F188" i="2"/>
  <c r="G188" i="2"/>
  <c r="H188" i="2"/>
  <c r="I188" i="2"/>
  <c r="F189" i="2"/>
  <c r="G189" i="2"/>
  <c r="H189" i="2"/>
  <c r="I189" i="2"/>
  <c r="F190" i="2"/>
  <c r="G190" i="2"/>
  <c r="H190" i="2"/>
  <c r="I190" i="2"/>
  <c r="F191" i="2"/>
  <c r="G191" i="2"/>
  <c r="H191" i="2"/>
  <c r="I191" i="2"/>
  <c r="F192" i="2"/>
  <c r="G192" i="2"/>
  <c r="H192" i="2"/>
  <c r="I192" i="2"/>
  <c r="F193" i="2"/>
  <c r="G193" i="2"/>
  <c r="H193" i="2"/>
  <c r="I193" i="2"/>
  <c r="F194" i="2"/>
  <c r="G194" i="2"/>
  <c r="H194" i="2"/>
  <c r="I194" i="2"/>
  <c r="F195" i="2"/>
  <c r="G195" i="2"/>
  <c r="H195" i="2"/>
  <c r="I195" i="2"/>
  <c r="F196" i="2"/>
  <c r="G196" i="2"/>
  <c r="H196" i="2"/>
  <c r="I196" i="2"/>
  <c r="F197" i="2"/>
  <c r="G197" i="2"/>
  <c r="H197" i="2"/>
  <c r="I197" i="2"/>
  <c r="F198" i="2"/>
  <c r="G198" i="2"/>
  <c r="H198" i="2"/>
  <c r="I198" i="2"/>
  <c r="F199" i="2"/>
  <c r="G199" i="2"/>
  <c r="H199" i="2"/>
  <c r="I199" i="2"/>
  <c r="F200" i="2"/>
  <c r="G200" i="2"/>
  <c r="H200" i="2"/>
  <c r="I200" i="2"/>
  <c r="F201" i="2"/>
  <c r="G201" i="2"/>
  <c r="H201" i="2"/>
  <c r="I201" i="2"/>
  <c r="F202" i="2"/>
  <c r="G202" i="2"/>
  <c r="H202" i="2"/>
  <c r="I202" i="2"/>
  <c r="F203" i="2"/>
  <c r="G203" i="2"/>
  <c r="H203" i="2"/>
  <c r="I203" i="2"/>
  <c r="F204" i="2"/>
  <c r="G204" i="2"/>
  <c r="H204" i="2"/>
  <c r="I204" i="2"/>
  <c r="F205" i="2"/>
  <c r="G205" i="2"/>
  <c r="H205" i="2"/>
  <c r="I205" i="2"/>
  <c r="F206" i="2"/>
  <c r="G206" i="2"/>
  <c r="H206" i="2"/>
  <c r="I206" i="2"/>
  <c r="F207" i="2"/>
  <c r="G207" i="2"/>
  <c r="H207" i="2"/>
  <c r="I207" i="2"/>
  <c r="F208" i="2"/>
  <c r="G208" i="2"/>
  <c r="H208" i="2"/>
  <c r="I208" i="2"/>
  <c r="F209" i="2"/>
  <c r="G209" i="2"/>
  <c r="H209" i="2"/>
  <c r="I209" i="2"/>
  <c r="F210" i="2"/>
  <c r="G210" i="2"/>
  <c r="H210" i="2"/>
  <c r="I210" i="2"/>
  <c r="F211" i="2"/>
  <c r="G211" i="2"/>
  <c r="H211" i="2"/>
  <c r="I211" i="2"/>
  <c r="F212" i="2"/>
  <c r="G212" i="2"/>
  <c r="H212" i="2"/>
  <c r="I212" i="2"/>
  <c r="F213" i="2"/>
  <c r="G213" i="2"/>
  <c r="H213" i="2"/>
  <c r="I213" i="2"/>
  <c r="F214" i="2"/>
  <c r="G214" i="2"/>
  <c r="H214" i="2"/>
  <c r="I214" i="2"/>
  <c r="F215" i="2"/>
  <c r="G215" i="2"/>
  <c r="H215" i="2"/>
  <c r="I215" i="2"/>
  <c r="F216" i="2"/>
  <c r="G216" i="2"/>
  <c r="H216" i="2"/>
  <c r="I216" i="2"/>
  <c r="F217" i="2"/>
  <c r="G217" i="2"/>
  <c r="H217" i="2"/>
  <c r="I217" i="2"/>
  <c r="F218" i="2"/>
  <c r="G218" i="2"/>
  <c r="H218" i="2"/>
  <c r="I218" i="2"/>
  <c r="F219" i="2"/>
  <c r="G219" i="2"/>
  <c r="H219" i="2"/>
  <c r="I219" i="2"/>
  <c r="F220" i="2"/>
  <c r="G220" i="2"/>
  <c r="H220" i="2"/>
  <c r="I220" i="2"/>
  <c r="F221" i="2"/>
  <c r="G221" i="2"/>
  <c r="H221" i="2"/>
  <c r="I221" i="2"/>
  <c r="F222" i="2"/>
  <c r="G222" i="2"/>
  <c r="H222" i="2"/>
  <c r="I222" i="2"/>
  <c r="F223" i="2"/>
  <c r="G223" i="2"/>
  <c r="H223" i="2"/>
  <c r="I223" i="2"/>
  <c r="F224" i="2"/>
  <c r="G224" i="2"/>
  <c r="H224" i="2"/>
  <c r="I224" i="2"/>
  <c r="F225" i="2"/>
  <c r="G225" i="2"/>
  <c r="H225" i="2"/>
  <c r="I225" i="2"/>
  <c r="F226" i="2"/>
  <c r="G226" i="2"/>
  <c r="H226" i="2"/>
  <c r="I226" i="2"/>
  <c r="F227" i="2"/>
  <c r="G227" i="2"/>
  <c r="H227" i="2"/>
  <c r="I227" i="2"/>
  <c r="F228" i="2"/>
  <c r="G228" i="2"/>
  <c r="H228" i="2"/>
  <c r="I228" i="2"/>
  <c r="F229" i="2"/>
  <c r="G229" i="2"/>
  <c r="H229" i="2"/>
  <c r="I229" i="2"/>
  <c r="F230" i="2"/>
  <c r="G230" i="2"/>
  <c r="H230" i="2"/>
  <c r="I230" i="2"/>
  <c r="F231" i="2"/>
  <c r="G231" i="2"/>
  <c r="H231" i="2"/>
  <c r="I231" i="2"/>
  <c r="F232" i="2"/>
  <c r="G232" i="2"/>
  <c r="H232" i="2"/>
  <c r="I232" i="2"/>
  <c r="F233" i="2"/>
  <c r="G233" i="2"/>
  <c r="H233" i="2"/>
  <c r="I233" i="2"/>
  <c r="F234" i="2"/>
  <c r="G234" i="2"/>
  <c r="H234" i="2"/>
  <c r="I234" i="2"/>
  <c r="F235" i="2"/>
  <c r="G235" i="2"/>
  <c r="H235" i="2"/>
  <c r="I235" i="2"/>
  <c r="F236" i="2"/>
  <c r="G236" i="2"/>
  <c r="H236" i="2"/>
  <c r="I236" i="2"/>
  <c r="F237" i="2"/>
  <c r="G237" i="2"/>
  <c r="H237" i="2"/>
  <c r="I237" i="2"/>
  <c r="F238" i="2"/>
  <c r="G238" i="2"/>
  <c r="H238" i="2"/>
  <c r="I238" i="2"/>
  <c r="F239" i="2"/>
  <c r="G239" i="2"/>
  <c r="H239" i="2"/>
  <c r="I239" i="2"/>
  <c r="F240" i="2"/>
  <c r="G240" i="2"/>
  <c r="H240" i="2"/>
  <c r="I240" i="2"/>
  <c r="F241" i="2"/>
  <c r="G241" i="2"/>
  <c r="H241" i="2"/>
  <c r="I241" i="2"/>
  <c r="F242" i="2"/>
  <c r="G242" i="2"/>
  <c r="H242" i="2"/>
  <c r="I242" i="2"/>
  <c r="F243" i="2"/>
  <c r="G243" i="2"/>
  <c r="H243" i="2"/>
  <c r="I243" i="2"/>
  <c r="F244" i="2"/>
  <c r="G244" i="2"/>
  <c r="H244" i="2"/>
  <c r="I244" i="2"/>
  <c r="F245" i="2"/>
  <c r="G245" i="2"/>
  <c r="H245" i="2"/>
  <c r="I245" i="2"/>
  <c r="F246" i="2"/>
  <c r="G246" i="2"/>
  <c r="H246" i="2"/>
  <c r="I246" i="2"/>
  <c r="F247" i="2"/>
  <c r="G247" i="2"/>
  <c r="H247" i="2"/>
  <c r="I247" i="2"/>
  <c r="F248" i="2"/>
  <c r="G248" i="2"/>
  <c r="H248" i="2"/>
  <c r="I248" i="2"/>
  <c r="F249" i="2"/>
  <c r="G249" i="2"/>
  <c r="H249" i="2"/>
  <c r="I249" i="2"/>
  <c r="F250" i="2"/>
  <c r="G250" i="2"/>
  <c r="H250" i="2"/>
  <c r="I250" i="2"/>
  <c r="F251" i="2"/>
  <c r="G251" i="2"/>
  <c r="H251" i="2"/>
  <c r="I251" i="2"/>
  <c r="F252" i="2"/>
  <c r="G252" i="2"/>
  <c r="H252" i="2"/>
  <c r="I252" i="2"/>
  <c r="F253" i="2"/>
  <c r="G253" i="2"/>
  <c r="H253" i="2"/>
  <c r="I253" i="2"/>
  <c r="F254" i="2"/>
  <c r="G254" i="2"/>
  <c r="H254" i="2"/>
  <c r="I254" i="2"/>
  <c r="F255" i="2"/>
  <c r="G255" i="2"/>
  <c r="H255" i="2"/>
  <c r="I255" i="2"/>
  <c r="F256" i="2"/>
  <c r="G256" i="2"/>
  <c r="H256" i="2"/>
  <c r="I256" i="2"/>
  <c r="F257" i="2"/>
  <c r="G257" i="2"/>
  <c r="H257" i="2"/>
  <c r="I257" i="2"/>
  <c r="F258" i="2"/>
  <c r="G258" i="2"/>
  <c r="H258" i="2"/>
  <c r="I258" i="2"/>
  <c r="F259" i="2"/>
  <c r="G259" i="2"/>
  <c r="H259" i="2"/>
  <c r="I259" i="2"/>
  <c r="F260" i="2"/>
  <c r="G260" i="2"/>
  <c r="H260" i="2"/>
  <c r="I260" i="2"/>
  <c r="F261" i="2"/>
  <c r="G261" i="2"/>
  <c r="H261" i="2"/>
  <c r="I261" i="2"/>
  <c r="F262" i="2"/>
  <c r="G262" i="2"/>
  <c r="H262" i="2"/>
  <c r="I262" i="2"/>
  <c r="F263" i="2"/>
  <c r="G263" i="2"/>
  <c r="H263" i="2"/>
  <c r="I263" i="2"/>
  <c r="F264" i="2"/>
  <c r="G264" i="2"/>
  <c r="H264" i="2"/>
  <c r="I264" i="2"/>
  <c r="F265" i="2"/>
  <c r="G265" i="2"/>
  <c r="H265" i="2"/>
  <c r="I265" i="2"/>
  <c r="F266" i="2"/>
  <c r="G266" i="2"/>
  <c r="H266" i="2"/>
  <c r="I266" i="2"/>
  <c r="F267" i="2"/>
  <c r="G267" i="2"/>
  <c r="H267" i="2"/>
  <c r="I267" i="2"/>
  <c r="F268" i="2"/>
  <c r="G268" i="2"/>
  <c r="H268" i="2"/>
  <c r="I268" i="2"/>
  <c r="F269" i="2"/>
  <c r="G269" i="2"/>
  <c r="H269" i="2"/>
  <c r="I269" i="2"/>
  <c r="F270" i="2"/>
  <c r="G270" i="2"/>
  <c r="H270" i="2"/>
  <c r="I270" i="2"/>
  <c r="F271" i="2"/>
  <c r="G271" i="2"/>
  <c r="H271" i="2"/>
  <c r="I271" i="2"/>
  <c r="F272" i="2"/>
  <c r="G272" i="2"/>
  <c r="H272" i="2"/>
  <c r="I272" i="2"/>
  <c r="F273" i="2"/>
  <c r="G273" i="2"/>
  <c r="H273" i="2"/>
  <c r="I273" i="2"/>
  <c r="F274" i="2"/>
  <c r="G274" i="2"/>
  <c r="H274" i="2"/>
  <c r="I274" i="2"/>
  <c r="F275" i="2"/>
  <c r="G275" i="2"/>
  <c r="H275" i="2"/>
  <c r="I275" i="2"/>
  <c r="F276" i="2"/>
  <c r="G276" i="2"/>
  <c r="H276" i="2"/>
  <c r="I276" i="2"/>
  <c r="F277" i="2"/>
  <c r="G277" i="2"/>
  <c r="H277" i="2"/>
  <c r="I277" i="2"/>
  <c r="F278" i="2"/>
  <c r="G278" i="2"/>
  <c r="H278" i="2"/>
  <c r="I278" i="2"/>
  <c r="F279" i="2"/>
  <c r="G279" i="2"/>
  <c r="H279" i="2"/>
  <c r="I279" i="2"/>
  <c r="F280" i="2"/>
  <c r="G280" i="2"/>
  <c r="H280" i="2"/>
  <c r="I280" i="2"/>
  <c r="F281" i="2"/>
  <c r="G281" i="2"/>
  <c r="H281" i="2"/>
  <c r="I281" i="2"/>
  <c r="F282" i="2"/>
  <c r="G282" i="2"/>
  <c r="H282" i="2"/>
  <c r="I282" i="2"/>
  <c r="F283" i="2"/>
  <c r="G283" i="2"/>
  <c r="H283" i="2"/>
  <c r="I283" i="2"/>
  <c r="F284" i="2"/>
  <c r="G284" i="2"/>
  <c r="H284" i="2"/>
  <c r="I284" i="2"/>
  <c r="F285" i="2"/>
  <c r="G285" i="2"/>
  <c r="H285" i="2"/>
  <c r="I285" i="2"/>
  <c r="F286" i="2"/>
  <c r="G286" i="2"/>
  <c r="H286" i="2"/>
  <c r="I286" i="2"/>
  <c r="F287" i="2"/>
  <c r="G287" i="2"/>
  <c r="H287" i="2"/>
  <c r="I287" i="2"/>
  <c r="F288" i="2"/>
  <c r="G288" i="2"/>
  <c r="H288" i="2"/>
  <c r="I288" i="2"/>
  <c r="F289" i="2"/>
  <c r="G289" i="2"/>
  <c r="H289" i="2"/>
  <c r="I289" i="2"/>
  <c r="F290" i="2"/>
  <c r="G290" i="2"/>
  <c r="H290" i="2"/>
  <c r="I290" i="2"/>
  <c r="F291" i="2"/>
  <c r="G291" i="2"/>
  <c r="H291" i="2"/>
  <c r="I291" i="2"/>
  <c r="F292" i="2"/>
  <c r="G292" i="2"/>
  <c r="H292" i="2"/>
  <c r="I292" i="2"/>
  <c r="F293" i="2"/>
  <c r="G293" i="2"/>
  <c r="H293" i="2"/>
  <c r="I293" i="2"/>
  <c r="F294" i="2"/>
  <c r="G294" i="2"/>
  <c r="H294" i="2"/>
  <c r="I294" i="2"/>
  <c r="F295" i="2"/>
  <c r="G295" i="2"/>
  <c r="H295" i="2"/>
  <c r="I295" i="2"/>
  <c r="F296" i="2"/>
  <c r="G296" i="2"/>
  <c r="H296" i="2"/>
  <c r="I296" i="2"/>
  <c r="F297" i="2"/>
  <c r="G297" i="2"/>
  <c r="H297" i="2"/>
  <c r="I297" i="2"/>
  <c r="F298" i="2"/>
  <c r="G298" i="2"/>
  <c r="H298" i="2"/>
  <c r="I298" i="2"/>
  <c r="F299" i="2"/>
  <c r="G299" i="2"/>
  <c r="H299" i="2"/>
  <c r="I299" i="2"/>
  <c r="F300" i="2"/>
  <c r="G300" i="2"/>
  <c r="H300" i="2"/>
  <c r="I300" i="2"/>
  <c r="F301" i="2"/>
  <c r="G301" i="2"/>
  <c r="H301" i="2"/>
  <c r="I301" i="2"/>
  <c r="F302" i="2"/>
  <c r="G302" i="2"/>
  <c r="H302" i="2"/>
  <c r="I302" i="2"/>
  <c r="F303" i="2"/>
  <c r="G303" i="2"/>
  <c r="H303" i="2"/>
  <c r="I303" i="2"/>
  <c r="F304" i="2"/>
  <c r="G304" i="2"/>
  <c r="H304" i="2"/>
  <c r="I304" i="2"/>
  <c r="F305" i="2"/>
  <c r="G305" i="2"/>
  <c r="H305" i="2"/>
  <c r="I305" i="2"/>
  <c r="F306" i="2"/>
  <c r="G306" i="2"/>
  <c r="H306" i="2"/>
  <c r="I306" i="2"/>
  <c r="F307" i="2"/>
  <c r="G307" i="2"/>
  <c r="H307" i="2"/>
  <c r="I307" i="2"/>
  <c r="F308" i="2"/>
  <c r="G308" i="2"/>
  <c r="H308" i="2"/>
  <c r="I308" i="2"/>
  <c r="F309" i="2"/>
  <c r="G309" i="2"/>
  <c r="H309" i="2"/>
  <c r="I309" i="2"/>
  <c r="F310" i="2"/>
  <c r="G310" i="2"/>
  <c r="H310" i="2"/>
  <c r="I310" i="2"/>
  <c r="F311" i="2"/>
  <c r="G311" i="2"/>
  <c r="H311" i="2"/>
  <c r="I311" i="2"/>
  <c r="F312" i="2"/>
  <c r="G312" i="2"/>
  <c r="H312" i="2"/>
  <c r="I312" i="2"/>
  <c r="F313" i="2"/>
  <c r="G313" i="2"/>
  <c r="H313" i="2"/>
  <c r="I313" i="2"/>
  <c r="F314" i="2"/>
  <c r="G314" i="2"/>
  <c r="H314" i="2"/>
  <c r="I314" i="2"/>
  <c r="F315" i="2"/>
  <c r="G315" i="2"/>
  <c r="H315" i="2"/>
  <c r="I315" i="2"/>
  <c r="F316" i="2"/>
  <c r="G316" i="2"/>
  <c r="H316" i="2"/>
  <c r="I316" i="2"/>
  <c r="F317" i="2"/>
  <c r="G317" i="2"/>
  <c r="H317" i="2"/>
  <c r="I317" i="2"/>
  <c r="F318" i="2"/>
  <c r="G318" i="2"/>
  <c r="H318" i="2"/>
  <c r="I318" i="2"/>
  <c r="F319" i="2"/>
  <c r="G319" i="2"/>
  <c r="H319" i="2"/>
  <c r="I319" i="2"/>
  <c r="F320" i="2"/>
  <c r="G320" i="2"/>
  <c r="H320" i="2"/>
  <c r="I320" i="2"/>
  <c r="F321" i="2"/>
  <c r="G321" i="2"/>
  <c r="H321" i="2"/>
  <c r="I321" i="2"/>
  <c r="F322" i="2"/>
  <c r="G322" i="2"/>
  <c r="H322" i="2"/>
  <c r="I322" i="2"/>
  <c r="F323" i="2"/>
  <c r="G323" i="2"/>
  <c r="H323" i="2"/>
  <c r="I323" i="2"/>
  <c r="F324" i="2"/>
  <c r="G324" i="2"/>
  <c r="H324" i="2"/>
  <c r="I324" i="2"/>
  <c r="F325" i="2"/>
  <c r="G325" i="2"/>
  <c r="H325" i="2"/>
  <c r="I325" i="2"/>
  <c r="F326" i="2"/>
  <c r="G326" i="2"/>
  <c r="H326" i="2"/>
  <c r="I326" i="2"/>
  <c r="F327" i="2"/>
  <c r="G327" i="2"/>
  <c r="H327" i="2"/>
  <c r="I327" i="2"/>
  <c r="F328" i="2"/>
  <c r="G328" i="2"/>
  <c r="H328" i="2"/>
  <c r="I328" i="2"/>
  <c r="F329" i="2"/>
  <c r="G329" i="2"/>
  <c r="H329" i="2"/>
  <c r="I329" i="2"/>
  <c r="F330" i="2"/>
  <c r="G330" i="2"/>
  <c r="H330" i="2"/>
  <c r="I330" i="2"/>
  <c r="F331" i="2"/>
  <c r="G331" i="2"/>
  <c r="H331" i="2"/>
  <c r="I331" i="2"/>
  <c r="F332" i="2"/>
  <c r="G332" i="2"/>
  <c r="H332" i="2"/>
  <c r="I332" i="2"/>
  <c r="F333" i="2"/>
  <c r="G333" i="2"/>
  <c r="H333" i="2"/>
  <c r="I333" i="2"/>
  <c r="F334" i="2"/>
  <c r="G334" i="2"/>
  <c r="H334" i="2"/>
  <c r="I334" i="2"/>
  <c r="F335" i="2"/>
  <c r="G335" i="2"/>
  <c r="H335" i="2"/>
  <c r="I335" i="2"/>
  <c r="F336" i="2"/>
  <c r="G336" i="2"/>
  <c r="H336" i="2"/>
  <c r="I336" i="2"/>
  <c r="F337" i="2"/>
  <c r="G337" i="2"/>
  <c r="H337" i="2"/>
  <c r="I337" i="2"/>
  <c r="F338" i="2"/>
  <c r="G338" i="2"/>
  <c r="H338" i="2"/>
  <c r="I338" i="2"/>
  <c r="F339" i="2"/>
  <c r="G339" i="2"/>
  <c r="H339" i="2"/>
  <c r="I339" i="2"/>
  <c r="F340" i="2"/>
  <c r="G340" i="2"/>
  <c r="H340" i="2"/>
  <c r="I340" i="2"/>
  <c r="F341" i="2"/>
  <c r="G341" i="2"/>
  <c r="H341" i="2"/>
  <c r="I341" i="2"/>
  <c r="F342" i="2"/>
  <c r="G342" i="2"/>
  <c r="H342" i="2"/>
  <c r="I342" i="2"/>
  <c r="F343" i="2"/>
  <c r="G343" i="2"/>
  <c r="H343" i="2"/>
  <c r="I343" i="2"/>
  <c r="F344" i="2"/>
  <c r="G344" i="2"/>
  <c r="H344" i="2"/>
  <c r="I344" i="2"/>
  <c r="F345" i="2"/>
  <c r="G345" i="2"/>
  <c r="H345" i="2"/>
  <c r="I345" i="2"/>
  <c r="F346" i="2"/>
  <c r="G346" i="2"/>
  <c r="H346" i="2"/>
  <c r="I346" i="2"/>
  <c r="F347" i="2"/>
  <c r="G347" i="2"/>
  <c r="H347" i="2"/>
  <c r="I347" i="2"/>
  <c r="F348" i="2"/>
  <c r="G348" i="2"/>
  <c r="H348" i="2"/>
  <c r="I348" i="2"/>
  <c r="F349" i="2"/>
  <c r="G349" i="2"/>
  <c r="H349" i="2"/>
  <c r="I349" i="2"/>
  <c r="F350" i="2"/>
  <c r="G350" i="2"/>
  <c r="H350" i="2"/>
  <c r="I350" i="2"/>
  <c r="F351" i="2"/>
  <c r="G351" i="2"/>
  <c r="H351" i="2"/>
  <c r="I351" i="2"/>
  <c r="F352" i="2"/>
  <c r="G352" i="2"/>
  <c r="H352" i="2"/>
  <c r="I352" i="2"/>
  <c r="F353" i="2"/>
  <c r="G353" i="2"/>
  <c r="H353" i="2"/>
  <c r="I353" i="2"/>
  <c r="F354" i="2"/>
  <c r="G354" i="2"/>
  <c r="H354" i="2"/>
  <c r="I354" i="2"/>
  <c r="F355" i="2"/>
  <c r="G355" i="2"/>
  <c r="H355" i="2"/>
  <c r="I355" i="2"/>
  <c r="F356" i="2"/>
  <c r="G356" i="2"/>
  <c r="H356" i="2"/>
  <c r="I356" i="2"/>
  <c r="F357" i="2"/>
  <c r="G357" i="2"/>
  <c r="H357" i="2"/>
  <c r="I357" i="2"/>
  <c r="F358" i="2"/>
  <c r="G358" i="2"/>
  <c r="H358" i="2"/>
  <c r="I358" i="2"/>
  <c r="F359" i="2"/>
  <c r="G359" i="2"/>
  <c r="H359" i="2"/>
  <c r="I359" i="2"/>
  <c r="F360" i="2"/>
  <c r="G360" i="2"/>
  <c r="H360" i="2"/>
  <c r="I360" i="2"/>
  <c r="F361" i="2"/>
  <c r="G361" i="2"/>
  <c r="H361" i="2"/>
  <c r="I361" i="2"/>
  <c r="F362" i="2"/>
  <c r="G362" i="2"/>
  <c r="H362" i="2"/>
  <c r="I362" i="2"/>
  <c r="F363" i="2"/>
  <c r="G363" i="2"/>
  <c r="H363" i="2"/>
  <c r="I363" i="2"/>
  <c r="F364" i="2"/>
  <c r="G364" i="2"/>
  <c r="H364" i="2"/>
  <c r="I364" i="2"/>
  <c r="F365" i="2"/>
  <c r="G365" i="2"/>
  <c r="H365" i="2"/>
  <c r="I365" i="2"/>
  <c r="F366" i="2"/>
  <c r="G366" i="2"/>
  <c r="H366" i="2"/>
  <c r="I366" i="2"/>
  <c r="F367" i="2"/>
  <c r="G367" i="2"/>
  <c r="H367" i="2"/>
  <c r="I367" i="2"/>
  <c r="F368" i="2"/>
  <c r="G368" i="2"/>
  <c r="H368" i="2"/>
  <c r="I368" i="2"/>
  <c r="F369" i="2"/>
  <c r="G369" i="2"/>
  <c r="H369" i="2"/>
  <c r="I369" i="2"/>
  <c r="F370" i="2"/>
  <c r="G370" i="2"/>
  <c r="H370" i="2"/>
  <c r="I370" i="2"/>
  <c r="F371" i="2"/>
  <c r="G371" i="2"/>
  <c r="H371" i="2"/>
  <c r="I371" i="2"/>
  <c r="F372" i="2"/>
  <c r="G372" i="2"/>
  <c r="H372" i="2"/>
  <c r="I372" i="2"/>
  <c r="F373" i="2"/>
  <c r="G373" i="2"/>
  <c r="H373" i="2"/>
  <c r="I373" i="2"/>
  <c r="F374" i="2"/>
  <c r="G374" i="2"/>
  <c r="H374" i="2"/>
  <c r="I374" i="2"/>
  <c r="F375" i="2"/>
  <c r="G375" i="2"/>
  <c r="H375" i="2"/>
  <c r="I375" i="2"/>
  <c r="F376" i="2"/>
  <c r="G376" i="2"/>
  <c r="H376" i="2"/>
  <c r="I376" i="2"/>
  <c r="F377" i="2"/>
  <c r="G377" i="2"/>
  <c r="H377" i="2"/>
  <c r="I377" i="2"/>
  <c r="F378" i="2"/>
  <c r="G378" i="2"/>
  <c r="H378" i="2"/>
  <c r="I378" i="2"/>
  <c r="F379" i="2"/>
  <c r="G379" i="2"/>
  <c r="H379" i="2"/>
  <c r="I379" i="2"/>
  <c r="F380" i="2"/>
  <c r="G380" i="2"/>
  <c r="H380" i="2"/>
  <c r="I380" i="2"/>
  <c r="F381" i="2"/>
  <c r="G381" i="2"/>
  <c r="H381" i="2"/>
  <c r="I381" i="2"/>
  <c r="F382" i="2"/>
  <c r="G382" i="2"/>
  <c r="H382" i="2"/>
  <c r="I382" i="2"/>
  <c r="F383" i="2"/>
  <c r="G383" i="2"/>
  <c r="H383" i="2"/>
  <c r="I383" i="2"/>
  <c r="F384" i="2"/>
  <c r="G384" i="2"/>
  <c r="H384" i="2"/>
  <c r="I384" i="2"/>
  <c r="F385" i="2"/>
  <c r="G385" i="2"/>
  <c r="H385" i="2"/>
  <c r="I385" i="2"/>
  <c r="F386" i="2"/>
  <c r="G386" i="2"/>
  <c r="H386" i="2"/>
  <c r="I386" i="2"/>
  <c r="F387" i="2"/>
  <c r="G387" i="2"/>
  <c r="H387" i="2"/>
  <c r="I387" i="2"/>
  <c r="F388" i="2"/>
  <c r="G388" i="2"/>
  <c r="H388" i="2"/>
  <c r="I388" i="2"/>
  <c r="F389" i="2"/>
  <c r="G389" i="2"/>
  <c r="H389" i="2"/>
  <c r="I389" i="2"/>
  <c r="F390" i="2"/>
  <c r="G390" i="2"/>
  <c r="H390" i="2"/>
  <c r="I390" i="2"/>
  <c r="F391" i="2"/>
  <c r="G391" i="2"/>
  <c r="H391" i="2"/>
  <c r="I391" i="2"/>
  <c r="F392" i="2"/>
  <c r="G392" i="2"/>
  <c r="H392" i="2"/>
  <c r="I392" i="2"/>
  <c r="F393" i="2"/>
  <c r="G393" i="2"/>
  <c r="H393" i="2"/>
  <c r="I393" i="2"/>
  <c r="F394" i="2"/>
  <c r="G394" i="2"/>
  <c r="H394" i="2"/>
  <c r="I394" i="2"/>
  <c r="F395" i="2"/>
  <c r="G395" i="2"/>
  <c r="H395" i="2"/>
  <c r="I395" i="2"/>
  <c r="F396" i="2"/>
  <c r="G396" i="2"/>
  <c r="H396" i="2"/>
  <c r="I396" i="2"/>
  <c r="F397" i="2"/>
  <c r="G397" i="2"/>
  <c r="H397" i="2"/>
  <c r="I397" i="2"/>
  <c r="F398" i="2"/>
  <c r="G398" i="2"/>
  <c r="H398" i="2"/>
  <c r="I398" i="2"/>
  <c r="F399" i="2"/>
  <c r="G399" i="2"/>
  <c r="H399" i="2"/>
  <c r="I399" i="2"/>
  <c r="F400" i="2"/>
  <c r="G400" i="2"/>
  <c r="H400" i="2"/>
  <c r="I400" i="2"/>
  <c r="F401" i="2"/>
  <c r="G401" i="2"/>
  <c r="H401" i="2"/>
  <c r="I401" i="2"/>
  <c r="F402" i="2"/>
  <c r="G402" i="2"/>
  <c r="H402" i="2"/>
  <c r="I402" i="2"/>
  <c r="F403" i="2"/>
  <c r="G403" i="2"/>
  <c r="H403" i="2"/>
  <c r="I403" i="2"/>
  <c r="F404" i="2"/>
  <c r="G404" i="2"/>
  <c r="H404" i="2"/>
  <c r="I404" i="2"/>
  <c r="F405" i="2"/>
  <c r="G405" i="2"/>
  <c r="H405" i="2"/>
  <c r="I405" i="2"/>
  <c r="F406" i="2"/>
  <c r="G406" i="2"/>
  <c r="H406" i="2"/>
  <c r="I406" i="2"/>
  <c r="F407" i="2"/>
  <c r="G407" i="2"/>
  <c r="H407" i="2"/>
  <c r="I407" i="2"/>
  <c r="F408" i="2"/>
  <c r="G408" i="2"/>
  <c r="H408" i="2"/>
  <c r="I408" i="2"/>
  <c r="F409" i="2"/>
  <c r="G409" i="2"/>
  <c r="H409" i="2"/>
  <c r="I409" i="2"/>
  <c r="F410" i="2"/>
  <c r="G410" i="2"/>
  <c r="H410" i="2"/>
  <c r="I410" i="2"/>
  <c r="F411" i="2"/>
  <c r="G411" i="2"/>
  <c r="H411" i="2"/>
  <c r="I411" i="2"/>
  <c r="F412" i="2"/>
  <c r="G412" i="2"/>
  <c r="H412" i="2"/>
  <c r="I412" i="2"/>
  <c r="F413" i="2"/>
  <c r="G413" i="2"/>
  <c r="H413" i="2"/>
  <c r="I413" i="2"/>
  <c r="F414" i="2"/>
  <c r="G414" i="2"/>
  <c r="H414" i="2"/>
  <c r="I414" i="2"/>
  <c r="F415" i="2"/>
  <c r="G415" i="2"/>
  <c r="H415" i="2"/>
  <c r="I415" i="2"/>
  <c r="F416" i="2"/>
  <c r="G416" i="2"/>
  <c r="H416" i="2"/>
  <c r="I416" i="2"/>
  <c r="F417" i="2"/>
  <c r="G417" i="2"/>
  <c r="H417" i="2"/>
  <c r="I417" i="2"/>
  <c r="F418" i="2"/>
  <c r="G418" i="2"/>
  <c r="H418" i="2"/>
  <c r="I418" i="2"/>
  <c r="F419" i="2"/>
  <c r="G419" i="2"/>
  <c r="H419" i="2"/>
  <c r="I419" i="2"/>
  <c r="F420" i="2"/>
  <c r="G420" i="2"/>
  <c r="H420" i="2"/>
  <c r="I420" i="2"/>
  <c r="F421" i="2"/>
  <c r="G421" i="2"/>
  <c r="H421" i="2"/>
  <c r="I421" i="2"/>
  <c r="F422" i="2"/>
  <c r="G422" i="2"/>
  <c r="H422" i="2"/>
  <c r="I422" i="2"/>
  <c r="F423" i="2"/>
  <c r="G423" i="2"/>
  <c r="H423" i="2"/>
  <c r="I423" i="2"/>
  <c r="F424" i="2"/>
  <c r="G424" i="2"/>
  <c r="H424" i="2"/>
  <c r="I424" i="2"/>
  <c r="F425" i="2"/>
  <c r="G425" i="2"/>
  <c r="H425" i="2"/>
  <c r="I425" i="2"/>
  <c r="F426" i="2"/>
  <c r="G426" i="2"/>
  <c r="H426" i="2"/>
  <c r="I426" i="2"/>
  <c r="F427" i="2"/>
  <c r="G427" i="2"/>
  <c r="H427" i="2"/>
  <c r="I427" i="2"/>
  <c r="F428" i="2"/>
  <c r="G428" i="2"/>
  <c r="H428" i="2"/>
  <c r="I428" i="2"/>
  <c r="F429" i="2"/>
  <c r="G429" i="2"/>
  <c r="H429" i="2"/>
  <c r="I429" i="2"/>
  <c r="F430" i="2"/>
  <c r="G430" i="2"/>
  <c r="H430" i="2"/>
  <c r="I430" i="2"/>
  <c r="F431" i="2"/>
  <c r="G431" i="2"/>
  <c r="H431" i="2"/>
  <c r="I431" i="2"/>
  <c r="F432" i="2"/>
  <c r="G432" i="2"/>
  <c r="H432" i="2"/>
  <c r="I432" i="2"/>
  <c r="F433" i="2"/>
  <c r="G433" i="2"/>
  <c r="H433" i="2"/>
  <c r="I433" i="2"/>
  <c r="F434" i="2"/>
  <c r="G434" i="2"/>
  <c r="H434" i="2"/>
  <c r="I434" i="2"/>
  <c r="F435" i="2"/>
  <c r="G435" i="2"/>
  <c r="H435" i="2"/>
  <c r="I435" i="2"/>
  <c r="F436" i="2"/>
  <c r="G436" i="2"/>
  <c r="H436" i="2"/>
  <c r="I436" i="2"/>
  <c r="F437" i="2"/>
  <c r="G437" i="2"/>
  <c r="H437" i="2"/>
  <c r="I437" i="2"/>
  <c r="F438" i="2"/>
  <c r="G438" i="2"/>
  <c r="H438" i="2"/>
  <c r="I438" i="2"/>
  <c r="F439" i="2"/>
  <c r="G439" i="2"/>
  <c r="H439" i="2"/>
  <c r="I439" i="2"/>
  <c r="F440" i="2"/>
  <c r="G440" i="2"/>
  <c r="H440" i="2"/>
  <c r="I440" i="2"/>
  <c r="F441" i="2"/>
  <c r="G441" i="2"/>
  <c r="H441" i="2"/>
  <c r="I441" i="2"/>
  <c r="F442" i="2"/>
  <c r="G442" i="2"/>
  <c r="H442" i="2"/>
  <c r="I442" i="2"/>
  <c r="F443" i="2"/>
  <c r="G443" i="2"/>
  <c r="H443" i="2"/>
  <c r="I443" i="2"/>
  <c r="F444" i="2"/>
  <c r="G444" i="2"/>
  <c r="H444" i="2"/>
  <c r="I444" i="2"/>
  <c r="F445" i="2"/>
  <c r="G445" i="2"/>
  <c r="H445" i="2"/>
  <c r="I445" i="2"/>
  <c r="F446" i="2"/>
  <c r="G446" i="2"/>
  <c r="H446" i="2"/>
  <c r="I446" i="2"/>
  <c r="F447" i="2"/>
  <c r="G447" i="2"/>
  <c r="H447" i="2"/>
  <c r="I447" i="2"/>
  <c r="F448" i="2"/>
  <c r="G448" i="2"/>
  <c r="H448" i="2"/>
  <c r="I448" i="2"/>
  <c r="F449" i="2"/>
  <c r="G449" i="2"/>
  <c r="H449" i="2"/>
  <c r="I449" i="2"/>
  <c r="F450" i="2"/>
  <c r="G450" i="2"/>
  <c r="H450" i="2"/>
  <c r="I450" i="2"/>
  <c r="F451" i="2"/>
  <c r="G451" i="2"/>
  <c r="H451" i="2"/>
  <c r="I451" i="2"/>
  <c r="F452" i="2"/>
  <c r="G452" i="2"/>
  <c r="H452" i="2"/>
  <c r="I452" i="2"/>
  <c r="F453" i="2"/>
  <c r="G453" i="2"/>
  <c r="H453" i="2"/>
  <c r="I453" i="2"/>
  <c r="F454" i="2"/>
  <c r="G454" i="2"/>
  <c r="H454" i="2"/>
  <c r="I454" i="2"/>
  <c r="F455" i="2"/>
  <c r="G455" i="2"/>
  <c r="H455" i="2"/>
  <c r="I455" i="2"/>
  <c r="F456" i="2"/>
  <c r="G456" i="2"/>
  <c r="H456" i="2"/>
  <c r="I456" i="2"/>
  <c r="F457" i="2"/>
  <c r="G457" i="2"/>
  <c r="H457" i="2"/>
  <c r="I457" i="2"/>
  <c r="F458" i="2"/>
  <c r="G458" i="2"/>
  <c r="H458" i="2"/>
  <c r="I458" i="2"/>
  <c r="F459" i="2"/>
  <c r="G459" i="2"/>
  <c r="H459" i="2"/>
  <c r="I459" i="2"/>
  <c r="F460" i="2"/>
  <c r="G460" i="2"/>
  <c r="H460" i="2"/>
  <c r="I460" i="2"/>
  <c r="F461" i="2"/>
  <c r="G461" i="2"/>
  <c r="H461" i="2"/>
  <c r="I461" i="2"/>
  <c r="F462" i="2"/>
  <c r="G462" i="2"/>
  <c r="H462" i="2"/>
  <c r="I462" i="2"/>
  <c r="F463" i="2"/>
  <c r="G463" i="2"/>
  <c r="H463" i="2"/>
  <c r="I463" i="2"/>
  <c r="F464" i="2"/>
  <c r="G464" i="2"/>
  <c r="H464" i="2"/>
  <c r="I464" i="2"/>
  <c r="F465" i="2"/>
  <c r="G465" i="2"/>
  <c r="H465" i="2"/>
  <c r="I465" i="2"/>
  <c r="F466" i="2"/>
  <c r="G466" i="2"/>
  <c r="H466" i="2"/>
  <c r="I466" i="2"/>
  <c r="F467" i="2"/>
  <c r="G467" i="2"/>
  <c r="H467" i="2"/>
  <c r="I467" i="2"/>
  <c r="F468" i="2"/>
  <c r="G468" i="2"/>
  <c r="H468" i="2"/>
  <c r="I468" i="2"/>
  <c r="F469" i="2"/>
  <c r="G469" i="2"/>
  <c r="H469" i="2"/>
  <c r="I469" i="2"/>
  <c r="F470" i="2"/>
  <c r="G470" i="2"/>
  <c r="H470" i="2"/>
  <c r="I470" i="2"/>
  <c r="F471" i="2"/>
  <c r="G471" i="2"/>
  <c r="H471" i="2"/>
  <c r="I471" i="2"/>
  <c r="F472" i="2"/>
  <c r="G472" i="2"/>
  <c r="H472" i="2"/>
  <c r="I472" i="2"/>
  <c r="F473" i="2"/>
  <c r="G473" i="2"/>
  <c r="H473" i="2"/>
  <c r="I473" i="2"/>
  <c r="F474" i="2"/>
  <c r="G474" i="2"/>
  <c r="H474" i="2"/>
  <c r="I474" i="2"/>
  <c r="F475" i="2"/>
  <c r="G475" i="2"/>
  <c r="H475" i="2"/>
  <c r="I475" i="2"/>
  <c r="F476" i="2"/>
  <c r="G476" i="2"/>
  <c r="H476" i="2"/>
  <c r="I476" i="2"/>
  <c r="F477" i="2"/>
  <c r="G477" i="2"/>
  <c r="H477" i="2"/>
  <c r="I477" i="2"/>
  <c r="F478" i="2"/>
  <c r="G478" i="2"/>
  <c r="H478" i="2"/>
  <c r="I478" i="2"/>
  <c r="F479" i="2"/>
  <c r="G479" i="2"/>
  <c r="H479" i="2"/>
  <c r="I479" i="2"/>
  <c r="F480" i="2"/>
  <c r="G480" i="2"/>
  <c r="H480" i="2"/>
  <c r="I480" i="2"/>
  <c r="F481" i="2"/>
  <c r="G481" i="2"/>
  <c r="H481" i="2"/>
  <c r="I481" i="2"/>
  <c r="F482" i="2"/>
  <c r="G482" i="2"/>
  <c r="H482" i="2"/>
  <c r="I482" i="2"/>
  <c r="F483" i="2"/>
  <c r="G483" i="2"/>
  <c r="H483" i="2"/>
  <c r="I483" i="2"/>
  <c r="F484" i="2"/>
  <c r="G484" i="2"/>
  <c r="H484" i="2"/>
  <c r="I484" i="2"/>
  <c r="F485" i="2"/>
  <c r="G485" i="2"/>
  <c r="H485" i="2"/>
  <c r="I485" i="2"/>
  <c r="F486" i="2"/>
  <c r="G486" i="2"/>
  <c r="H486" i="2"/>
  <c r="I486" i="2"/>
  <c r="F487" i="2"/>
  <c r="G487" i="2"/>
  <c r="H487" i="2"/>
  <c r="I487" i="2"/>
  <c r="F488" i="2"/>
  <c r="G488" i="2"/>
  <c r="H488" i="2"/>
  <c r="I488" i="2"/>
  <c r="F489" i="2"/>
  <c r="G489" i="2"/>
  <c r="H489" i="2"/>
  <c r="I489" i="2"/>
  <c r="F490" i="2"/>
  <c r="G490" i="2"/>
  <c r="H490" i="2"/>
  <c r="I490" i="2"/>
  <c r="F491" i="2"/>
  <c r="G491" i="2"/>
  <c r="H491" i="2"/>
  <c r="I491" i="2"/>
  <c r="F492" i="2"/>
  <c r="G492" i="2"/>
  <c r="H492" i="2"/>
  <c r="I492" i="2"/>
  <c r="F493" i="2"/>
  <c r="G493" i="2"/>
  <c r="H493" i="2"/>
  <c r="I493" i="2"/>
  <c r="F494" i="2"/>
  <c r="G494" i="2"/>
  <c r="H494" i="2"/>
  <c r="I494" i="2"/>
  <c r="F495" i="2"/>
  <c r="G495" i="2"/>
  <c r="H495" i="2"/>
  <c r="I495" i="2"/>
  <c r="F496" i="2"/>
  <c r="G496" i="2"/>
  <c r="H496" i="2"/>
  <c r="I496" i="2"/>
  <c r="F497" i="2"/>
  <c r="G497" i="2"/>
  <c r="H497" i="2"/>
  <c r="I497" i="2"/>
  <c r="F498" i="2"/>
  <c r="G498" i="2"/>
  <c r="H498" i="2"/>
  <c r="I498" i="2"/>
  <c r="F499" i="2"/>
  <c r="G499" i="2"/>
  <c r="H499" i="2"/>
  <c r="I499" i="2"/>
  <c r="F500" i="2"/>
  <c r="G500" i="2"/>
  <c r="H500" i="2"/>
  <c r="I500" i="2"/>
  <c r="F501" i="2"/>
  <c r="G501" i="2"/>
  <c r="H501" i="2"/>
  <c r="I501" i="2"/>
  <c r="F502" i="2"/>
  <c r="G502" i="2"/>
  <c r="H502" i="2"/>
  <c r="I502" i="2"/>
  <c r="F503" i="2"/>
  <c r="G503" i="2"/>
  <c r="H503" i="2"/>
  <c r="I503" i="2"/>
  <c r="F504" i="2"/>
  <c r="G504" i="2"/>
  <c r="H504" i="2"/>
  <c r="I504" i="2"/>
  <c r="F505" i="2"/>
  <c r="G505" i="2"/>
  <c r="H505" i="2"/>
  <c r="I505" i="2"/>
  <c r="F506" i="2"/>
  <c r="G506" i="2"/>
  <c r="H506" i="2"/>
  <c r="I506" i="2"/>
  <c r="F507" i="2"/>
  <c r="G507" i="2"/>
  <c r="H507" i="2"/>
  <c r="I507" i="2"/>
  <c r="F508" i="2"/>
  <c r="G508" i="2"/>
  <c r="H508" i="2"/>
  <c r="I508" i="2"/>
  <c r="F509" i="2"/>
  <c r="G509" i="2"/>
  <c r="H509" i="2"/>
  <c r="I509" i="2"/>
  <c r="F510" i="2"/>
  <c r="G510" i="2"/>
  <c r="H510" i="2"/>
  <c r="I510" i="2"/>
  <c r="F511" i="2"/>
  <c r="G511" i="2"/>
  <c r="H511" i="2"/>
  <c r="I511" i="2"/>
  <c r="F512" i="2"/>
  <c r="G512" i="2"/>
  <c r="H512" i="2"/>
  <c r="I512" i="2"/>
  <c r="F513" i="2"/>
  <c r="G513" i="2"/>
  <c r="H513" i="2"/>
  <c r="I513" i="2"/>
  <c r="F514" i="2"/>
  <c r="G514" i="2"/>
  <c r="H514" i="2"/>
  <c r="I514" i="2"/>
  <c r="F515" i="2"/>
  <c r="G515" i="2"/>
  <c r="H515" i="2"/>
  <c r="I515" i="2"/>
  <c r="F516" i="2"/>
  <c r="G516" i="2"/>
  <c r="H516" i="2"/>
  <c r="I516" i="2"/>
  <c r="F517" i="2"/>
  <c r="G517" i="2"/>
  <c r="H517" i="2"/>
  <c r="I517" i="2"/>
  <c r="F518" i="2"/>
  <c r="G518" i="2"/>
  <c r="H518" i="2"/>
  <c r="I518" i="2"/>
  <c r="F519" i="2"/>
  <c r="G519" i="2"/>
  <c r="H519" i="2"/>
  <c r="I519" i="2"/>
  <c r="F520" i="2"/>
  <c r="G520" i="2"/>
  <c r="H520" i="2"/>
  <c r="I520" i="2"/>
  <c r="F521" i="2"/>
  <c r="G521" i="2"/>
  <c r="H521" i="2"/>
  <c r="I521" i="2"/>
  <c r="F522" i="2"/>
  <c r="G522" i="2"/>
  <c r="H522" i="2"/>
  <c r="I522" i="2"/>
  <c r="F523" i="2"/>
  <c r="G523" i="2"/>
  <c r="H523" i="2"/>
  <c r="I523" i="2"/>
  <c r="F524" i="2"/>
  <c r="G524" i="2"/>
  <c r="H524" i="2"/>
  <c r="I524" i="2"/>
  <c r="F525" i="2"/>
  <c r="G525" i="2"/>
  <c r="H525" i="2"/>
  <c r="I525" i="2"/>
  <c r="F526" i="2"/>
  <c r="G526" i="2"/>
  <c r="H526" i="2"/>
  <c r="I526" i="2"/>
  <c r="F527" i="2"/>
  <c r="G527" i="2"/>
  <c r="H527" i="2"/>
  <c r="I527" i="2"/>
  <c r="F528" i="2"/>
  <c r="G528" i="2"/>
  <c r="H528" i="2"/>
  <c r="I528" i="2"/>
  <c r="F529" i="2"/>
  <c r="G529" i="2"/>
  <c r="H529" i="2"/>
  <c r="I529" i="2"/>
  <c r="F530" i="2"/>
  <c r="G530" i="2"/>
  <c r="H530" i="2"/>
  <c r="I530" i="2"/>
  <c r="F531" i="2"/>
  <c r="G531" i="2"/>
  <c r="H531" i="2"/>
  <c r="I531" i="2"/>
  <c r="I2" i="2"/>
  <c r="H2" i="2"/>
  <c r="G2" i="2"/>
  <c r="F2" i="2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F8" i="5"/>
  <c r="F7" i="5"/>
  <c r="F6" i="5"/>
  <c r="F5" i="5"/>
  <c r="F9" i="5"/>
  <c r="H72" i="2" l="1"/>
  <c r="I72" i="2"/>
  <c r="H60" i="2"/>
  <c r="I60" i="2"/>
  <c r="H57" i="2"/>
  <c r="I57" i="2"/>
  <c r="H52" i="2"/>
  <c r="I52" i="2"/>
  <c r="H49" i="2"/>
  <c r="I49" i="2"/>
  <c r="H44" i="2"/>
  <c r="I44" i="2"/>
  <c r="H41" i="2"/>
  <c r="I41" i="2"/>
  <c r="H36" i="2"/>
  <c r="I36" i="2"/>
  <c r="H33" i="2"/>
  <c r="I33" i="2"/>
  <c r="H28" i="2"/>
  <c r="I28" i="2"/>
  <c r="H25" i="2"/>
  <c r="I25" i="2"/>
  <c r="H20" i="2"/>
  <c r="I20" i="2"/>
  <c r="H17" i="2"/>
  <c r="I17" i="2"/>
  <c r="H12" i="2"/>
  <c r="I12" i="2"/>
  <c r="H9" i="2"/>
  <c r="I9" i="2"/>
  <c r="H4" i="2"/>
  <c r="I4" i="2"/>
  <c r="H129" i="2"/>
  <c r="H125" i="2"/>
  <c r="H117" i="2"/>
  <c r="H109" i="2"/>
  <c r="H101" i="2"/>
  <c r="H93" i="2"/>
  <c r="H69" i="2"/>
  <c r="H130" i="2"/>
  <c r="I128" i="2"/>
  <c r="H126" i="2"/>
  <c r="I124" i="2"/>
  <c r="H122" i="2"/>
  <c r="I120" i="2"/>
  <c r="H118" i="2"/>
  <c r="I116" i="2"/>
  <c r="H114" i="2"/>
  <c r="I112" i="2"/>
  <c r="H110" i="2"/>
  <c r="I108" i="2"/>
  <c r="H106" i="2"/>
  <c r="I104" i="2"/>
  <c r="H102" i="2"/>
  <c r="I100" i="2"/>
  <c r="H98" i="2"/>
  <c r="I96" i="2"/>
  <c r="H94" i="2"/>
  <c r="I92" i="2"/>
  <c r="H90" i="2"/>
  <c r="I88" i="2"/>
  <c r="I81" i="2"/>
  <c r="H80" i="2"/>
  <c r="I80" i="2"/>
  <c r="I75" i="2"/>
  <c r="H73" i="2"/>
  <c r="I65" i="2"/>
  <c r="H64" i="2"/>
  <c r="I64" i="2"/>
  <c r="H61" i="2"/>
  <c r="I61" i="2"/>
  <c r="H56" i="2"/>
  <c r="I56" i="2"/>
  <c r="H53" i="2"/>
  <c r="I53" i="2"/>
  <c r="H48" i="2"/>
  <c r="I48" i="2"/>
  <c r="H45" i="2"/>
  <c r="I45" i="2"/>
  <c r="H40" i="2"/>
  <c r="I40" i="2"/>
  <c r="H37" i="2"/>
  <c r="I37" i="2"/>
  <c r="H32" i="2"/>
  <c r="I32" i="2"/>
  <c r="H29" i="2"/>
  <c r="I29" i="2"/>
  <c r="H24" i="2"/>
  <c r="I24" i="2"/>
  <c r="H21" i="2"/>
  <c r="I21" i="2"/>
  <c r="H16" i="2"/>
  <c r="I16" i="2"/>
  <c r="H13" i="2"/>
  <c r="I13" i="2"/>
  <c r="H8" i="2"/>
  <c r="I8" i="2"/>
  <c r="H5" i="2"/>
  <c r="I5" i="2"/>
  <c r="H121" i="2"/>
  <c r="H113" i="2"/>
  <c r="H105" i="2"/>
  <c r="H97" i="2"/>
  <c r="H89" i="2"/>
  <c r="H85" i="2"/>
  <c r="H76" i="2"/>
  <c r="I76" i="2"/>
  <c r="I129" i="2"/>
  <c r="H127" i="2"/>
  <c r="I125" i="2"/>
  <c r="H123" i="2"/>
  <c r="I121" i="2"/>
  <c r="H119" i="2"/>
  <c r="I117" i="2"/>
  <c r="H115" i="2"/>
  <c r="I113" i="2"/>
  <c r="H111" i="2"/>
  <c r="I109" i="2"/>
  <c r="H107" i="2"/>
  <c r="I105" i="2"/>
  <c r="H103" i="2"/>
  <c r="I101" i="2"/>
  <c r="H99" i="2"/>
  <c r="I97" i="2"/>
  <c r="H95" i="2"/>
  <c r="I93" i="2"/>
  <c r="H91" i="2"/>
  <c r="I89" i="2"/>
  <c r="I85" i="2"/>
  <c r="H84" i="2"/>
  <c r="I84" i="2"/>
  <c r="I79" i="2"/>
  <c r="H77" i="2"/>
  <c r="I69" i="2"/>
  <c r="H68" i="2"/>
  <c r="I68" i="2"/>
  <c r="H86" i="2"/>
  <c r="H82" i="2"/>
  <c r="H78" i="2"/>
  <c r="H74" i="2"/>
  <c r="H70" i="2"/>
  <c r="H66" i="2"/>
  <c r="H62" i="2"/>
  <c r="H58" i="2"/>
  <c r="H54" i="2"/>
  <c r="H50" i="2"/>
  <c r="H46" i="2"/>
  <c r="H42" i="2"/>
  <c r="H38" i="2"/>
  <c r="H34" i="2"/>
  <c r="H30" i="2"/>
  <c r="H26" i="2"/>
  <c r="H22" i="2"/>
  <c r="H18" i="2"/>
  <c r="H14" i="2"/>
  <c r="H10" i="2"/>
  <c r="H6" i="2"/>
</calcChain>
</file>

<file path=xl/sharedStrings.xml><?xml version="1.0" encoding="utf-8"?>
<sst xmlns="http://schemas.openxmlformats.org/spreadsheetml/2006/main" count="42" uniqueCount="31">
  <si>
    <t>student_id</t>
  </si>
  <si>
    <t>sex</t>
  </si>
  <si>
    <t>code</t>
  </si>
  <si>
    <t>subject_name</t>
  </si>
  <si>
    <t>subject_short</t>
  </si>
  <si>
    <t>centre_number</t>
  </si>
  <si>
    <t>school_name</t>
  </si>
  <si>
    <t>ward_name</t>
  </si>
  <si>
    <t>council_name</t>
  </si>
  <si>
    <t>region_name</t>
  </si>
  <si>
    <t>marks</t>
  </si>
  <si>
    <t>CENTRE</t>
  </si>
  <si>
    <t>CODE</t>
  </si>
  <si>
    <t>SUBJECT NAME</t>
  </si>
  <si>
    <t>SCHOOL NAME</t>
  </si>
  <si>
    <t>REGION</t>
  </si>
  <si>
    <t>COUNCIL</t>
  </si>
  <si>
    <t>WARD</t>
  </si>
  <si>
    <t>Registered</t>
  </si>
  <si>
    <t>With Marks</t>
  </si>
  <si>
    <t>Absents</t>
  </si>
  <si>
    <t>Progress</t>
  </si>
  <si>
    <t>subject_code</t>
  </si>
  <si>
    <t>KIYABO APP FOR JOINT EXAMINATIONS</t>
  </si>
  <si>
    <t>SELECT CENTRE AND SUBJECT CODE</t>
  </si>
  <si>
    <t>031-P</t>
  </si>
  <si>
    <t>S1873</t>
  </si>
  <si>
    <t>KAIMU</t>
  </si>
  <si>
    <t>S1873 SONGWE SS CIVICS: 011</t>
  </si>
  <si>
    <t>exam_id</t>
  </si>
  <si>
    <t>student_global_id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</si>
</sst>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%"/>
    <numFmt numFmtId="165" formatCode="_(* #,##0_);_(* \(#,##0\);_(* &quot;-&quot;??_);_(@_)"/>
  </numFmts>
  <fonts count="14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b/>
      <sz val="12"/>
      <color rgb="FF0070C0"/>
      <name val="Arial"/>
      <family val="2"/>
    </font>
    <font>
      <sz val="8"/>
      <name val="Arial"/>
      <family val="2"/>
    </font>
    <font>
      <b/>
      <sz val="28"/>
      <color rgb="FF0070C0"/>
      <name val="Arial"/>
      <family val="2"/>
    </font>
    <font>
      <sz val="11"/>
      <name val="Arial"/>
      <family val="2"/>
    </font>
    <font>
      <b/>
      <sz val="11"/>
      <color rgb="FF00B050"/>
      <name val="Arial"/>
      <family val="2"/>
    </font>
    <font>
      <sz val="11"/>
      <color rgb="FF00B050"/>
      <name val="Arial"/>
      <family val="2"/>
    </font>
    <font>
      <sz val="11"/>
      <color rgb="FF0000FF"/>
      <name val="Arial"/>
      <family val="2"/>
    </font>
    <font>
      <sz val="11"/>
      <color rgb="FF000000"/>
      <name val="Arial"/>
      <family val="2"/>
    </font>
    <font>
      <b/>
      <sz val="11"/>
      <color theme="9" tint="-0.499984740745262"/>
      <name val="Arial"/>
      <family val="2"/>
    </font>
    <font>
      <b/>
      <sz val="11"/>
      <color rgb="FF0070C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8FEFE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1">
    <xf numFmtId="0" fontId="0" fillId="0" borderId="0" xfId="0"/>
    <xf numFmtId="0" fontId="7" fillId="4" borderId="0" xfId="0" applyFont="1" applyFill="1" applyAlignment="1" applyProtection="1">
      <alignment horizontal="center"/>
      <protection locked="0"/>
    </xf>
    <xf numFmtId="0" fontId="8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/>
    </xf>
    <xf numFmtId="165" fontId="0" fillId="0" borderId="0" xfId="1" applyNumberFormat="1" applyFont="1" applyProtection="1"/>
    <xf numFmtId="164" fontId="0" fillId="0" borderId="0" xfId="2" applyNumberFormat="1" applyFont="1" applyProtection="1"/>
    <xf numFmtId="0" fontId="0" fillId="0" borderId="0" xfId="0" applyAlignment="1">
      <alignment horizontal="center"/>
    </xf>
    <xf numFmtId="164" fontId="0" fillId="0" borderId="0" xfId="2" applyNumberFormat="1" applyFont="1" applyAlignment="1" applyProtection="1">
      <alignment horizontal="center"/>
    </xf>
    <xf numFmtId="0" fontId="0" fillId="3" borderId="0" xfId="0" applyFill="1"/>
    <xf numFmtId="0" fontId="4" fillId="3" borderId="0" xfId="0" applyFont="1" applyFill="1"/>
    <xf numFmtId="0" fontId="2" fillId="2" borderId="1" xfId="0" applyFont="1" applyFill="1" applyBorder="1" applyProtection="1">
      <protection locked="0"/>
    </xf>
    <xf numFmtId="0" fontId="8" fillId="4" borderId="0" xfId="0" applyFont="1" applyFill="1" applyAlignment="1" applyProtection="1">
      <alignment vertical="center" wrapText="1"/>
      <protection locked="0"/>
    </xf>
    <xf numFmtId="0" fontId="8" fillId="4" borderId="0" xfId="0" applyFont="1" applyFill="1" applyProtection="1">
      <protection locked="0"/>
    </xf>
    <xf numFmtId="0" fontId="9" fillId="4" borderId="0" xfId="0" applyFont="1" applyFill="1" applyProtection="1">
      <protection locked="0"/>
    </xf>
    <xf numFmtId="0" fontId="9" fillId="4" borderId="0" xfId="0" applyFont="1" applyFill="1" applyAlignment="1" applyProtection="1">
      <alignment wrapText="1"/>
      <protection locked="0"/>
    </xf>
    <xf numFmtId="0" fontId="7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12" fillId="3" borderId="0" xfId="0" applyFont="1" applyFill="1"/>
    <xf numFmtId="49" fontId="8" fillId="4" borderId="0" xfId="0" applyNumberFormat="1" applyFont="1" applyFill="1" applyProtection="1">
      <protection locked="0"/>
    </xf>
    <xf numFmtId="49" fontId="7" fillId="4" borderId="0" xfId="0" applyNumberFormat="1" applyFont="1" applyFill="1" applyProtection="1">
      <protection locked="0"/>
    </xf>
    <xf numFmtId="49" fontId="0" fillId="4" borderId="0" xfId="0" applyNumberFormat="1" applyFill="1" applyProtection="1">
      <protection locked="0"/>
    </xf>
    <xf numFmtId="49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13" fillId="5" borderId="0" xfId="0" applyFont="1" applyFill="1"/>
    <xf numFmtId="164" fontId="13" fillId="5" borderId="0" xfId="0" applyNumberFormat="1" applyFont="1" applyFill="1"/>
    <xf numFmtId="49" fontId="13" fillId="5" borderId="0" xfId="0" applyNumberFormat="1" applyFont="1" applyFill="1"/>
    <xf numFmtId="0" fontId="13" fillId="5" borderId="0" xfId="0" applyFont="1" applyFill="1" applyAlignment="1">
      <alignment horizontal="center"/>
    </xf>
    <xf numFmtId="164" fontId="13" fillId="5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18"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0" formatCode="@"/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alignment horizontal="center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50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</dxfs>
  <tableStyles count="0" defaultTableStyle="TableStyleMedium2" defaultPivotStyle="PivotStyleLight16"/>
  <colors>
    <mruColors>
      <color rgb="FFF8FE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0</xdr:row>
          <xdr:rowOff>66675</xdr:rowOff>
        </xdr:from>
        <xdr:to>
          <xdr:col>14</xdr:col>
          <xdr:colOff>1400175</xdr:colOff>
          <xdr:row>0</xdr:row>
          <xdr:rowOff>409575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GO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304800</xdr:colOff>
          <xdr:row>0</xdr:row>
          <xdr:rowOff>47625</xdr:rowOff>
        </xdr:from>
        <xdr:to>
          <xdr:col>19</xdr:col>
          <xdr:colOff>123825</xdr:colOff>
          <xdr:row>0</xdr:row>
          <xdr:rowOff>400050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OPEN FORM TO CHANGE SUBJECT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504825</xdr:colOff>
          <xdr:row>0</xdr:row>
          <xdr:rowOff>76200</xdr:rowOff>
        </xdr:from>
        <xdr:to>
          <xdr:col>21</xdr:col>
          <xdr:colOff>342900</xdr:colOff>
          <xdr:row>0</xdr:row>
          <xdr:rowOff>409575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SAVE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0</xdr:row>
          <xdr:rowOff>142875</xdr:rowOff>
        </xdr:from>
        <xdr:to>
          <xdr:col>12</xdr:col>
          <xdr:colOff>66675</xdr:colOff>
          <xdr:row>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2</xdr:row>
          <xdr:rowOff>114300</xdr:rowOff>
        </xdr:from>
        <xdr:to>
          <xdr:col>12</xdr:col>
          <xdr:colOff>38100</xdr:colOff>
          <xdr:row>4</xdr:row>
          <xdr:rowOff>161925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8</xdr:row>
          <xdr:rowOff>47625</xdr:rowOff>
        </xdr:from>
        <xdr:to>
          <xdr:col>2</xdr:col>
          <xdr:colOff>1038225</xdr:colOff>
          <xdr:row>10</xdr:row>
          <xdr:rowOff>85725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FILL SELECTED SCHOOL AND SUBJECT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876300</xdr:colOff>
          <xdr:row>11</xdr:row>
          <xdr:rowOff>104775</xdr:rowOff>
        </xdr:from>
        <xdr:to>
          <xdr:col>5</xdr:col>
          <xdr:colOff>1781175</xdr:colOff>
          <xdr:row>14</xdr:row>
          <xdr:rowOff>38100</xdr:rowOff>
        </xdr:to>
        <xdr:sp macro="" textlink="">
          <xdr:nvSpPr>
            <xdr:cNvPr id="5157" name="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3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SUBJECTS FILLING PROGRESS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942975</xdr:colOff>
          <xdr:row>16</xdr:row>
          <xdr:rowOff>19050</xdr:rowOff>
        </xdr:from>
        <xdr:to>
          <xdr:col>5</xdr:col>
          <xdr:colOff>1781175</xdr:colOff>
          <xdr:row>18</xdr:row>
          <xdr:rowOff>142875</xdr:rowOff>
        </xdr:to>
        <xdr:sp macro="" textlink="">
          <xdr:nvSpPr>
            <xdr:cNvPr id="5158" name="Button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3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SCHOOLS FILLING PROGRESS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E73E54-8E6D-41F2-AD12-244D814E3AA8}" name="Table1" displayName="Table1" ref="A1:N2" insertRow="1" headerRowDxfId="17" dataDxfId="16" totalsRowDxfId="15">
  <tableColumns count="14">
    <tableColumn id="3" xr3:uid="{7CB0E269-AE30-4B0C-BD63-F695EADD3A98}" name="student_id" dataDxfId="14"/>
    <tableColumn id="1" xr3:uid="{00F4D178-3F76-44AA-9025-2A720426B696}" name="S1873 SONGWE SS CIVICS: 011" totalsRowLabel="Total" dataDxfId="13"/>
    <tableColumn id="2" xr3:uid="{BA778206-BE37-44ED-AB22-03CE872CEBDB}" name="sex" dataDxfId="12"/>
    <tableColumn id="4" xr3:uid="{A3BDD0B5-7283-4BE4-B558-0B7CF9B4DBB5}" name="marks" dataDxfId="11"/>
    <tableColumn id="5" xr3:uid="{30EE7963-3C75-4CDB-AA03-58E4811DB18D}" name="subject_code" dataDxfId="10"/>
    <tableColumn id="6" xr3:uid="{6DB79682-C99A-402D-86F2-1FE1A77F77ED}" name="subject_name" dataDxfId="9"/>
    <tableColumn id="7" xr3:uid="{07F8ECA2-AB5A-4C0A-AEE0-9BBE13CF8F00}" name="subject_short" dataDxfId="8"/>
    <tableColumn id="8" xr3:uid="{311C8BCC-A63B-4CE0-A908-D0B4F838515B}" name="centre_number" dataDxfId="7"/>
    <tableColumn id="9" xr3:uid="{4CA235DE-A399-4E91-AF77-13765AF95025}" name="school_name" dataDxfId="6"/>
    <tableColumn id="10" xr3:uid="{129E7676-9776-4462-B699-CEF8EC7D54F7}" name="ward_name" dataDxfId="5"/>
    <tableColumn id="11" xr3:uid="{9C21DDA9-C73F-4543-8FFB-3A0F0A29EB33}" name="council_name" dataDxfId="4"/>
    <tableColumn id="12" xr3:uid="{35D75879-7816-480E-8848-9A97FE60311E}" name="region_name" totalsRowFunction="count" dataDxfId="3"/>
    <tableColumn id="16" xr3:uid="{6BE6DD11-625C-43B2-A015-C3C6C1190C65}" name="exam_id" dataDxfId="2"/>
    <tableColumn id="13" xr3:uid="{4F1B6277-7304-45D8-B063-6EC752C39EF1}" name="student_global_id" dataDxfId="1" totalsRow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06AF8-3227-4BF9-826F-94B033A74DC1}">
  <sheetPr codeName="Sheet1"/>
  <dimension ref="A1:O2"/>
  <sheetViews>
    <sheetView topLeftCell="G1" workbookViewId="0">
      <pane ySplit="1" topLeftCell="A2" activePane="bottomLeft" state="frozen"/>
      <selection pane="bottomLeft" activeCell="P2" sqref="P2"/>
    </sheetView>
  </sheetViews>
  <sheetFormatPr defaultRowHeight="14.25" x14ac:dyDescent="0.2"/>
  <cols>
    <col min="1" max="1" width="10.75" style="16" bestFit="1" customWidth="1"/>
    <col min="2" max="2" width="33.75" style="16" bestFit="1" customWidth="1"/>
    <col min="3" max="3" width="4" style="16" bestFit="1" customWidth="1"/>
    <col min="4" max="4" width="6.125" style="3" bestFit="1" customWidth="1"/>
    <col min="5" max="5" width="12.75" style="20" customWidth="1"/>
    <col min="6" max="6" width="37.125" style="16" customWidth="1"/>
    <col min="7" max="7" width="13.125" style="16" customWidth="1"/>
    <col min="8" max="8" width="14.5" style="16" customWidth="1"/>
    <col min="9" max="9" width="13.75" style="16" customWidth="1"/>
    <col min="10" max="10" width="19.375" style="16" customWidth="1"/>
    <col min="11" max="11" width="13.125" style="16" customWidth="1"/>
    <col min="12" max="12" width="12.375" style="16" customWidth="1"/>
    <col min="13" max="13" width="6.5" style="16" customWidth="1"/>
    <col min="14" max="14" width="9" style="16"/>
    <col min="15" max="15" width="20.125" style="16" customWidth="1"/>
    <col min="16" max="16384" width="9" style="16"/>
  </cols>
  <sheetData>
    <row r="1" spans="1:15" s="13" customFormat="1" ht="37.5" customHeight="1" x14ac:dyDescent="0.25">
      <c r="A1" s="11" t="s">
        <v>0</v>
      </c>
      <c r="B1" s="11" t="s">
        <v>28</v>
      </c>
      <c r="C1" s="11" t="s">
        <v>1</v>
      </c>
      <c r="D1" s="2" t="s">
        <v>10</v>
      </c>
      <c r="E1" s="18" t="s">
        <v>22</v>
      </c>
      <c r="F1" s="12" t="s">
        <v>3</v>
      </c>
      <c r="G1" s="12" t="s">
        <v>4</v>
      </c>
      <c r="H1" s="12" t="s">
        <v>5</v>
      </c>
      <c r="I1" s="12" t="s">
        <v>6</v>
      </c>
      <c r="J1" s="12" t="s">
        <v>7</v>
      </c>
      <c r="K1" s="12" t="s">
        <v>8</v>
      </c>
      <c r="L1" s="12" t="s">
        <v>9</v>
      </c>
      <c r="M1" s="12" t="s">
        <v>29</v>
      </c>
      <c r="N1" s="12" t="s">
        <v>30</v>
      </c>
      <c r="O1" s="14"/>
    </row>
    <row r="2" spans="1:15" x14ac:dyDescent="0.2">
      <c r="A2" s="15"/>
      <c r="B2" s="15"/>
      <c r="C2" s="15"/>
      <c r="D2" s="1"/>
      <c r="E2" s="19"/>
      <c r="F2" s="15"/>
      <c r="G2" s="15"/>
      <c r="H2" s="15"/>
      <c r="I2" s="15"/>
      <c r="J2" s="15"/>
      <c r="K2" s="15"/>
      <c r="L2" s="15"/>
      <c r="M2" s="15"/>
      <c r="N2" s="15"/>
    </row>
  </sheetData>
  <sheetProtection sort="0" autoFilter="0" pivotTables="0"/>
  <phoneticPr fontId="5" type="noConversion"/>
  <dataValidations count="1">
    <dataValidation type="decimal" allowBlank="1" showInputMessage="1" showErrorMessage="1" errorTitle="INVALID MARKS" error="PLEASE ONLY 0 TO 100 MARKS IS ALLOWED TO BE USED" promptTitle="Marks" prompt="0 to 100" sqref="D2" xr:uid="{0588E854-E018-4495-9F6A-95D8EE4C76A2}">
      <formula1>0</formula1>
      <formula2>100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ReturnToInterface">
                <anchor moveWithCells="1" sizeWithCells="1">
                  <from>
                    <xdr:col>14</xdr:col>
                    <xdr:colOff>161925</xdr:colOff>
                    <xdr:row>0</xdr:row>
                    <xdr:rowOff>66675</xdr:rowOff>
                  </from>
                  <to>
                    <xdr:col>14</xdr:col>
                    <xdr:colOff>1400175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6_Click">
                <anchor moveWithCells="1" sizeWithCells="1">
                  <from>
                    <xdr:col>15</xdr:col>
                    <xdr:colOff>304800</xdr:colOff>
                    <xdr:row>0</xdr:row>
                    <xdr:rowOff>47625</xdr:rowOff>
                  </from>
                  <to>
                    <xdr:col>19</xdr:col>
                    <xdr:colOff>123825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aveMyWorkbook">
                <anchor moveWithCells="1" sizeWithCells="1">
                  <from>
                    <xdr:col>19</xdr:col>
                    <xdr:colOff>504825</xdr:colOff>
                    <xdr:row>0</xdr:row>
                    <xdr:rowOff>76200</xdr:rowOff>
                  </from>
                  <to>
                    <xdr:col>21</xdr:col>
                    <xdr:colOff>342900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5E50AF-51F8-40C2-8456-1DB3FDAFF4CC}">
          <x14:formula1>
            <xm:f>Schools!#REF!</xm:f>
          </x14:formula1>
          <xm:sqref>O1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1FE11-D356-49DA-A231-2DB7C478C639}">
  <sheetPr codeName="Sheet2"/>
  <dimension ref="A1:I531"/>
  <sheetViews>
    <sheetView workbookViewId="0">
      <selection activeCell="B7" sqref="B7"/>
    </sheetView>
  </sheetViews>
  <sheetFormatPr defaultRowHeight="14.25" x14ac:dyDescent="0.2"/>
  <cols>
    <col min="1" max="1" width="15.75" bestFit="1" customWidth="1"/>
    <col min="2" max="2" width="14.125" bestFit="1" customWidth="1"/>
    <col min="3" max="3" width="12.25" bestFit="1" customWidth="1"/>
    <col min="4" max="4" width="14.625" bestFit="1" customWidth="1"/>
    <col min="5" max="5" width="13.75" bestFit="1" customWidth="1"/>
    <col min="6" max="6" width="11.5" bestFit="1" customWidth="1"/>
    <col min="7" max="7" width="11.625" bestFit="1" customWidth="1"/>
    <col min="8" max="8" width="9" bestFit="1" customWidth="1"/>
    <col min="9" max="9" width="9.875" style="23" bestFit="1" customWidth="1"/>
  </cols>
  <sheetData>
    <row r="1" spans="1:9" ht="15" x14ac:dyDescent="0.25">
      <c r="A1" s="24" t="s">
        <v>5</v>
      </c>
      <c r="B1" s="24" t="s">
        <v>6</v>
      </c>
      <c r="C1" s="24" t="s">
        <v>7</v>
      </c>
      <c r="D1" s="24" t="s">
        <v>8</v>
      </c>
      <c r="E1" s="24" t="s">
        <v>9</v>
      </c>
      <c r="F1" s="24" t="s">
        <v>18</v>
      </c>
      <c r="G1" s="24" t="s">
        <v>19</v>
      </c>
      <c r="H1" s="24" t="s">
        <v>20</v>
      </c>
      <c r="I1" s="25" t="s">
        <v>21</v>
      </c>
    </row>
    <row r="2" spans="1:9" x14ac:dyDescent="0.2">
      <c r="F2" s="4" t="str">
        <f>IF(LEN(TRIM(A2))=0,"",COUNTIFS(Students!H:H, A2))</f>
        <v/>
      </c>
      <c r="G2" s="4" t="str">
        <f>IF(LEN(TRIM(A2))=0,"",COUNTIFS(Students!H:H, A2, Students!D:D, "&lt;&gt;"))</f>
        <v/>
      </c>
      <c r="H2" s="4" t="str">
        <f>IFERROR(F2-G2,"")</f>
        <v/>
      </c>
      <c r="I2" s="5" t="str">
        <f>IFERROR(IF(F2=0, "N/A", G2/F2),"")</f>
        <v/>
      </c>
    </row>
    <row r="3" spans="1:9" x14ac:dyDescent="0.2">
      <c r="F3" s="4" t="str">
        <f>IF(LEN(TRIM(A3))=0,"",COUNTIFS(Students!H:H, A3))</f>
        <v/>
      </c>
      <c r="G3" s="4" t="str">
        <f>IF(LEN(TRIM(A3))=0,"",COUNTIFS(Students!H:H, A3, Students!D:D, "&lt;&gt;"))</f>
        <v/>
      </c>
      <c r="H3" s="4" t="str">
        <f t="shared" ref="H3:H66" si="0">IFERROR(F3-G3,"")</f>
        <v/>
      </c>
      <c r="I3" s="5" t="str">
        <f t="shared" ref="I3:I66" si="1">IFERROR(IF(F3=0, "N/A", G3/F3),"")</f>
        <v/>
      </c>
    </row>
    <row r="4" spans="1:9" x14ac:dyDescent="0.2">
      <c r="F4" s="4" t="str">
        <f>IF(LEN(TRIM(A4))=0,"",COUNTIFS(Students!H:H, A4))</f>
        <v/>
      </c>
      <c r="G4" s="4" t="str">
        <f>IF(LEN(TRIM(A4))=0,"",COUNTIFS(Students!H:H, A4, Students!D:D, "&lt;&gt;"))</f>
        <v/>
      </c>
      <c r="H4" s="4" t="str">
        <f t="shared" si="0"/>
        <v/>
      </c>
      <c r="I4" s="5" t="str">
        <f t="shared" si="1"/>
        <v/>
      </c>
    </row>
    <row r="5" spans="1:9" x14ac:dyDescent="0.2">
      <c r="F5" s="4" t="str">
        <f>IF(LEN(TRIM(A5))=0,"",COUNTIFS(Students!H:H, A5))</f>
        <v/>
      </c>
      <c r="G5" s="4" t="str">
        <f>IF(LEN(TRIM(A5))=0,"",COUNTIFS(Students!H:H, A5, Students!D:D, "&lt;&gt;"))</f>
        <v/>
      </c>
      <c r="H5" s="4" t="str">
        <f t="shared" si="0"/>
        <v/>
      </c>
      <c r="I5" s="5" t="str">
        <f t="shared" si="1"/>
        <v/>
      </c>
    </row>
    <row r="6" spans="1:9" x14ac:dyDescent="0.2">
      <c r="F6" s="4" t="str">
        <f>IF(LEN(TRIM(A6))=0,"",COUNTIFS(Students!H:H, A6))</f>
        <v/>
      </c>
      <c r="G6" s="4" t="str">
        <f>IF(LEN(TRIM(A6))=0,"",COUNTIFS(Students!H:H, A6, Students!D:D, "&lt;&gt;"))</f>
        <v/>
      </c>
      <c r="H6" s="4" t="str">
        <f t="shared" si="0"/>
        <v/>
      </c>
      <c r="I6" s="5" t="str">
        <f t="shared" si="1"/>
        <v/>
      </c>
    </row>
    <row r="7" spans="1:9" x14ac:dyDescent="0.2">
      <c r="F7" s="4" t="str">
        <f>IF(LEN(TRIM(A7))=0,"",COUNTIFS(Students!H:H, A7))</f>
        <v/>
      </c>
      <c r="G7" s="4" t="str">
        <f>IF(LEN(TRIM(A7))=0,"",COUNTIFS(Students!H:H, A7, Students!D:D, "&lt;&gt;"))</f>
        <v/>
      </c>
      <c r="H7" s="4" t="str">
        <f t="shared" si="0"/>
        <v/>
      </c>
      <c r="I7" s="5" t="str">
        <f t="shared" si="1"/>
        <v/>
      </c>
    </row>
    <row r="8" spans="1:9" x14ac:dyDescent="0.2">
      <c r="F8" s="4" t="str">
        <f>IF(LEN(TRIM(A8))=0,"",COUNTIFS(Students!H:H, A8))</f>
        <v/>
      </c>
      <c r="G8" s="4" t="str">
        <f>IF(LEN(TRIM(A8))=0,"",COUNTIFS(Students!H:H, A8, Students!D:D, "&lt;&gt;"))</f>
        <v/>
      </c>
      <c r="H8" s="4" t="str">
        <f t="shared" si="0"/>
        <v/>
      </c>
      <c r="I8" s="5" t="str">
        <f t="shared" si="1"/>
        <v/>
      </c>
    </row>
    <row r="9" spans="1:9" x14ac:dyDescent="0.2">
      <c r="F9" s="4" t="str">
        <f>IF(LEN(TRIM(A9))=0,"",COUNTIFS(Students!H:H, A9))</f>
        <v/>
      </c>
      <c r="G9" s="4" t="str">
        <f>IF(LEN(TRIM(A9))=0,"",COUNTIFS(Students!H:H, A9, Students!D:D, "&lt;&gt;"))</f>
        <v/>
      </c>
      <c r="H9" s="4" t="str">
        <f t="shared" si="0"/>
        <v/>
      </c>
      <c r="I9" s="5" t="str">
        <f t="shared" si="1"/>
        <v/>
      </c>
    </row>
    <row r="10" spans="1:9" x14ac:dyDescent="0.2">
      <c r="F10" s="4" t="str">
        <f>IF(LEN(TRIM(A10))=0,"",COUNTIFS(Students!H:H, A10))</f>
        <v/>
      </c>
      <c r="G10" s="4" t="str">
        <f>IF(LEN(TRIM(A10))=0,"",COUNTIFS(Students!H:H, A10, Students!D:D, "&lt;&gt;"))</f>
        <v/>
      </c>
      <c r="H10" s="4" t="str">
        <f t="shared" si="0"/>
        <v/>
      </c>
      <c r="I10" s="5" t="str">
        <f t="shared" si="1"/>
        <v/>
      </c>
    </row>
    <row r="11" spans="1:9" x14ac:dyDescent="0.2">
      <c r="F11" s="4" t="str">
        <f>IF(LEN(TRIM(A11))=0,"",COUNTIFS(Students!H:H, A11))</f>
        <v/>
      </c>
      <c r="G11" s="4" t="str">
        <f>IF(LEN(TRIM(A11))=0,"",COUNTIFS(Students!H:H, A11, Students!D:D, "&lt;&gt;"))</f>
        <v/>
      </c>
      <c r="H11" s="4" t="str">
        <f t="shared" si="0"/>
        <v/>
      </c>
      <c r="I11" s="5" t="str">
        <f t="shared" si="1"/>
        <v/>
      </c>
    </row>
    <row r="12" spans="1:9" x14ac:dyDescent="0.2">
      <c r="F12" s="4" t="str">
        <f>IF(LEN(TRIM(A12))=0,"",COUNTIFS(Students!H:H, A12))</f>
        <v/>
      </c>
      <c r="G12" s="4" t="str">
        <f>IF(LEN(TRIM(A12))=0,"",COUNTIFS(Students!H:H, A12, Students!D:D, "&lt;&gt;"))</f>
        <v/>
      </c>
      <c r="H12" s="4" t="str">
        <f t="shared" si="0"/>
        <v/>
      </c>
      <c r="I12" s="5" t="str">
        <f t="shared" si="1"/>
        <v/>
      </c>
    </row>
    <row r="13" spans="1:9" x14ac:dyDescent="0.2">
      <c r="F13" s="4" t="str">
        <f>IF(LEN(TRIM(A13))=0,"",COUNTIFS(Students!H:H, A13))</f>
        <v/>
      </c>
      <c r="G13" s="4" t="str">
        <f>IF(LEN(TRIM(A13))=0,"",COUNTIFS(Students!H:H, A13, Students!D:D, "&lt;&gt;"))</f>
        <v/>
      </c>
      <c r="H13" s="4" t="str">
        <f t="shared" si="0"/>
        <v/>
      </c>
      <c r="I13" s="5" t="str">
        <f t="shared" si="1"/>
        <v/>
      </c>
    </row>
    <row r="14" spans="1:9" x14ac:dyDescent="0.2">
      <c r="F14" s="4" t="str">
        <f>IF(LEN(TRIM(A14))=0,"",COUNTIFS(Students!H:H, A14))</f>
        <v/>
      </c>
      <c r="G14" s="4" t="str">
        <f>IF(LEN(TRIM(A14))=0,"",COUNTIFS(Students!H:H, A14, Students!D:D, "&lt;&gt;"))</f>
        <v/>
      </c>
      <c r="H14" s="4" t="str">
        <f t="shared" si="0"/>
        <v/>
      </c>
      <c r="I14" s="5" t="str">
        <f t="shared" si="1"/>
        <v/>
      </c>
    </row>
    <row r="15" spans="1:9" x14ac:dyDescent="0.2">
      <c r="F15" s="4" t="str">
        <f>IF(LEN(TRIM(A15))=0,"",COUNTIFS(Students!H:H, A15))</f>
        <v/>
      </c>
      <c r="G15" s="4" t="str">
        <f>IF(LEN(TRIM(A15))=0,"",COUNTIFS(Students!H:H, A15, Students!D:D, "&lt;&gt;"))</f>
        <v/>
      </c>
      <c r="H15" s="4" t="str">
        <f t="shared" si="0"/>
        <v/>
      </c>
      <c r="I15" s="5" t="str">
        <f t="shared" si="1"/>
        <v/>
      </c>
    </row>
    <row r="16" spans="1:9" x14ac:dyDescent="0.2">
      <c r="F16" s="4" t="str">
        <f>IF(LEN(TRIM(A16))=0,"",COUNTIFS(Students!H:H, A16))</f>
        <v/>
      </c>
      <c r="G16" s="4" t="str">
        <f>IF(LEN(TRIM(A16))=0,"",COUNTIFS(Students!H:H, A16, Students!D:D, "&lt;&gt;"))</f>
        <v/>
      </c>
      <c r="H16" s="4" t="str">
        <f t="shared" si="0"/>
        <v/>
      </c>
      <c r="I16" s="5" t="str">
        <f t="shared" si="1"/>
        <v/>
      </c>
    </row>
    <row r="17" spans="6:9" x14ac:dyDescent="0.2">
      <c r="F17" s="4" t="str">
        <f>IF(LEN(TRIM(A17))=0,"",COUNTIFS(Students!H:H, A17))</f>
        <v/>
      </c>
      <c r="G17" s="4" t="str">
        <f>IF(LEN(TRIM(A17))=0,"",COUNTIFS(Students!H:H, A17, Students!D:D, "&lt;&gt;"))</f>
        <v/>
      </c>
      <c r="H17" s="4" t="str">
        <f t="shared" si="0"/>
        <v/>
      </c>
      <c r="I17" s="5" t="str">
        <f t="shared" si="1"/>
        <v/>
      </c>
    </row>
    <row r="18" spans="6:9" x14ac:dyDescent="0.2">
      <c r="F18" s="4" t="str">
        <f>IF(LEN(TRIM(A18))=0,"",COUNTIFS(Students!H:H, A18))</f>
        <v/>
      </c>
      <c r="G18" s="4" t="str">
        <f>IF(LEN(TRIM(A18))=0,"",COUNTIFS(Students!H:H, A18, Students!D:D, "&lt;&gt;"))</f>
        <v/>
      </c>
      <c r="H18" s="4" t="str">
        <f t="shared" si="0"/>
        <v/>
      </c>
      <c r="I18" s="5" t="str">
        <f t="shared" si="1"/>
        <v/>
      </c>
    </row>
    <row r="19" spans="6:9" x14ac:dyDescent="0.2">
      <c r="F19" s="4" t="str">
        <f>IF(LEN(TRIM(A19))=0,"",COUNTIFS(Students!H:H, A19))</f>
        <v/>
      </c>
      <c r="G19" s="4" t="str">
        <f>IF(LEN(TRIM(A19))=0,"",COUNTIFS(Students!H:H, A19, Students!D:D, "&lt;&gt;"))</f>
        <v/>
      </c>
      <c r="H19" s="4" t="str">
        <f t="shared" si="0"/>
        <v/>
      </c>
      <c r="I19" s="5" t="str">
        <f t="shared" si="1"/>
        <v/>
      </c>
    </row>
    <row r="20" spans="6:9" x14ac:dyDescent="0.2">
      <c r="F20" s="4" t="str">
        <f>IF(LEN(TRIM(A20))=0,"",COUNTIFS(Students!H:H, A20))</f>
        <v/>
      </c>
      <c r="G20" s="4" t="str">
        <f>IF(LEN(TRIM(A20))=0,"",COUNTIFS(Students!H:H, A20, Students!D:D, "&lt;&gt;"))</f>
        <v/>
      </c>
      <c r="H20" s="4" t="str">
        <f t="shared" si="0"/>
        <v/>
      </c>
      <c r="I20" s="5" t="str">
        <f t="shared" si="1"/>
        <v/>
      </c>
    </row>
    <row r="21" spans="6:9" x14ac:dyDescent="0.2">
      <c r="F21" s="4" t="str">
        <f>IF(LEN(TRIM(A21))=0,"",COUNTIFS(Students!H:H, A21))</f>
        <v/>
      </c>
      <c r="G21" s="4" t="str">
        <f>IF(LEN(TRIM(A21))=0,"",COUNTIFS(Students!H:H, A21, Students!D:D, "&lt;&gt;"))</f>
        <v/>
      </c>
      <c r="H21" s="4" t="str">
        <f t="shared" si="0"/>
        <v/>
      </c>
      <c r="I21" s="5" t="str">
        <f t="shared" si="1"/>
        <v/>
      </c>
    </row>
    <row r="22" spans="6:9" x14ac:dyDescent="0.2">
      <c r="F22" s="4" t="str">
        <f>IF(LEN(TRIM(A22))=0,"",COUNTIFS(Students!H:H, A22))</f>
        <v/>
      </c>
      <c r="G22" s="4" t="str">
        <f>IF(LEN(TRIM(A22))=0,"",COUNTIFS(Students!H:H, A22, Students!D:D, "&lt;&gt;"))</f>
        <v/>
      </c>
      <c r="H22" s="4" t="str">
        <f t="shared" si="0"/>
        <v/>
      </c>
      <c r="I22" s="5" t="str">
        <f t="shared" si="1"/>
        <v/>
      </c>
    </row>
    <row r="23" spans="6:9" x14ac:dyDescent="0.2">
      <c r="F23" s="4" t="str">
        <f>IF(LEN(TRIM(A23))=0,"",COUNTIFS(Students!H:H, A23))</f>
        <v/>
      </c>
      <c r="G23" s="4" t="str">
        <f>IF(LEN(TRIM(A23))=0,"",COUNTIFS(Students!H:H, A23, Students!D:D, "&lt;&gt;"))</f>
        <v/>
      </c>
      <c r="H23" s="4" t="str">
        <f t="shared" si="0"/>
        <v/>
      </c>
      <c r="I23" s="5" t="str">
        <f t="shared" si="1"/>
        <v/>
      </c>
    </row>
    <row r="24" spans="6:9" x14ac:dyDescent="0.2">
      <c r="F24" s="4" t="str">
        <f>IF(LEN(TRIM(A24))=0,"",COUNTIFS(Students!H:H, A24))</f>
        <v/>
      </c>
      <c r="G24" s="4" t="str">
        <f>IF(LEN(TRIM(A24))=0,"",COUNTIFS(Students!H:H, A24, Students!D:D, "&lt;&gt;"))</f>
        <v/>
      </c>
      <c r="H24" s="4" t="str">
        <f t="shared" si="0"/>
        <v/>
      </c>
      <c r="I24" s="5" t="str">
        <f t="shared" si="1"/>
        <v/>
      </c>
    </row>
    <row r="25" spans="6:9" x14ac:dyDescent="0.2">
      <c r="F25" s="4" t="str">
        <f>IF(LEN(TRIM(A25))=0,"",COUNTIFS(Students!H:H, A25))</f>
        <v/>
      </c>
      <c r="G25" s="4" t="str">
        <f>IF(LEN(TRIM(A25))=0,"",COUNTIFS(Students!H:H, A25, Students!D:D, "&lt;&gt;"))</f>
        <v/>
      </c>
      <c r="H25" s="4" t="str">
        <f t="shared" si="0"/>
        <v/>
      </c>
      <c r="I25" s="5" t="str">
        <f t="shared" si="1"/>
        <v/>
      </c>
    </row>
    <row r="26" spans="6:9" x14ac:dyDescent="0.2">
      <c r="F26" s="4" t="str">
        <f>IF(LEN(TRIM(A26))=0,"",COUNTIFS(Students!H:H, A26))</f>
        <v/>
      </c>
      <c r="G26" s="4" t="str">
        <f>IF(LEN(TRIM(A26))=0,"",COUNTIFS(Students!H:H, A26, Students!D:D, "&lt;&gt;"))</f>
        <v/>
      </c>
      <c r="H26" s="4" t="str">
        <f t="shared" si="0"/>
        <v/>
      </c>
      <c r="I26" s="5" t="str">
        <f t="shared" si="1"/>
        <v/>
      </c>
    </row>
    <row r="27" spans="6:9" x14ac:dyDescent="0.2">
      <c r="F27" s="4" t="str">
        <f>IF(LEN(TRIM(A27))=0,"",COUNTIFS(Students!H:H, A27))</f>
        <v/>
      </c>
      <c r="G27" s="4" t="str">
        <f>IF(LEN(TRIM(A27))=0,"",COUNTIFS(Students!H:H, A27, Students!D:D, "&lt;&gt;"))</f>
        <v/>
      </c>
      <c r="H27" s="4" t="str">
        <f t="shared" si="0"/>
        <v/>
      </c>
      <c r="I27" s="5" t="str">
        <f t="shared" si="1"/>
        <v/>
      </c>
    </row>
    <row r="28" spans="6:9" x14ac:dyDescent="0.2">
      <c r="F28" s="4" t="str">
        <f>IF(LEN(TRIM(A28))=0,"",COUNTIFS(Students!H:H, A28))</f>
        <v/>
      </c>
      <c r="G28" s="4" t="str">
        <f>IF(LEN(TRIM(A28))=0,"",COUNTIFS(Students!H:H, A28, Students!D:D, "&lt;&gt;"))</f>
        <v/>
      </c>
      <c r="H28" s="4" t="str">
        <f t="shared" si="0"/>
        <v/>
      </c>
      <c r="I28" s="5" t="str">
        <f t="shared" si="1"/>
        <v/>
      </c>
    </row>
    <row r="29" spans="6:9" x14ac:dyDescent="0.2">
      <c r="F29" s="4" t="str">
        <f>IF(LEN(TRIM(A29))=0,"",COUNTIFS(Students!H:H, A29))</f>
        <v/>
      </c>
      <c r="G29" s="4" t="str">
        <f>IF(LEN(TRIM(A29))=0,"",COUNTIFS(Students!H:H, A29, Students!D:D, "&lt;&gt;"))</f>
        <v/>
      </c>
      <c r="H29" s="4" t="str">
        <f t="shared" si="0"/>
        <v/>
      </c>
      <c r="I29" s="5" t="str">
        <f t="shared" si="1"/>
        <v/>
      </c>
    </row>
    <row r="30" spans="6:9" x14ac:dyDescent="0.2">
      <c r="F30" s="4" t="str">
        <f>IF(LEN(TRIM(A30))=0,"",COUNTIFS(Students!H:H, A30))</f>
        <v/>
      </c>
      <c r="G30" s="4" t="str">
        <f>IF(LEN(TRIM(A30))=0,"",COUNTIFS(Students!H:H, A30, Students!D:D, "&lt;&gt;"))</f>
        <v/>
      </c>
      <c r="H30" s="4" t="str">
        <f t="shared" si="0"/>
        <v/>
      </c>
      <c r="I30" s="5" t="str">
        <f t="shared" si="1"/>
        <v/>
      </c>
    </row>
    <row r="31" spans="6:9" x14ac:dyDescent="0.2">
      <c r="F31" s="4" t="str">
        <f>IF(LEN(TRIM(A31))=0,"",COUNTIFS(Students!H:H, A31))</f>
        <v/>
      </c>
      <c r="G31" s="4" t="str">
        <f>IF(LEN(TRIM(A31))=0,"",COUNTIFS(Students!H:H, A31, Students!D:D, "&lt;&gt;"))</f>
        <v/>
      </c>
      <c r="H31" s="4" t="str">
        <f t="shared" si="0"/>
        <v/>
      </c>
      <c r="I31" s="5" t="str">
        <f t="shared" si="1"/>
        <v/>
      </c>
    </row>
    <row r="32" spans="6:9" x14ac:dyDescent="0.2">
      <c r="F32" s="4" t="str">
        <f>IF(LEN(TRIM(A32))=0,"",COUNTIFS(Students!H:H, A32))</f>
        <v/>
      </c>
      <c r="G32" s="4" t="str">
        <f>IF(LEN(TRIM(A32))=0,"",COUNTIFS(Students!H:H, A32, Students!D:D, "&lt;&gt;"))</f>
        <v/>
      </c>
      <c r="H32" s="4" t="str">
        <f t="shared" si="0"/>
        <v/>
      </c>
      <c r="I32" s="5" t="str">
        <f t="shared" si="1"/>
        <v/>
      </c>
    </row>
    <row r="33" spans="6:9" x14ac:dyDescent="0.2">
      <c r="F33" s="4" t="str">
        <f>IF(LEN(TRIM(A33))=0,"",COUNTIFS(Students!H:H, A33))</f>
        <v/>
      </c>
      <c r="G33" s="4" t="str">
        <f>IF(LEN(TRIM(A33))=0,"",COUNTIFS(Students!H:H, A33, Students!D:D, "&lt;&gt;"))</f>
        <v/>
      </c>
      <c r="H33" s="4" t="str">
        <f t="shared" si="0"/>
        <v/>
      </c>
      <c r="I33" s="5" t="str">
        <f t="shared" si="1"/>
        <v/>
      </c>
    </row>
    <row r="34" spans="6:9" x14ac:dyDescent="0.2">
      <c r="F34" s="4" t="str">
        <f>IF(LEN(TRIM(A34))=0,"",COUNTIFS(Students!H:H, A34))</f>
        <v/>
      </c>
      <c r="G34" s="4" t="str">
        <f>IF(LEN(TRIM(A34))=0,"",COUNTIFS(Students!H:H, A34, Students!D:D, "&lt;&gt;"))</f>
        <v/>
      </c>
      <c r="H34" s="4" t="str">
        <f t="shared" si="0"/>
        <v/>
      </c>
      <c r="I34" s="5" t="str">
        <f t="shared" si="1"/>
        <v/>
      </c>
    </row>
    <row r="35" spans="6:9" x14ac:dyDescent="0.2">
      <c r="F35" s="4" t="str">
        <f>IF(LEN(TRIM(A35))=0,"",COUNTIFS(Students!H:H, A35))</f>
        <v/>
      </c>
      <c r="G35" s="4" t="str">
        <f>IF(LEN(TRIM(A35))=0,"",COUNTIFS(Students!H:H, A35, Students!D:D, "&lt;&gt;"))</f>
        <v/>
      </c>
      <c r="H35" s="4" t="str">
        <f t="shared" si="0"/>
        <v/>
      </c>
      <c r="I35" s="5" t="str">
        <f t="shared" si="1"/>
        <v/>
      </c>
    </row>
    <row r="36" spans="6:9" x14ac:dyDescent="0.2">
      <c r="F36" s="4" t="str">
        <f>IF(LEN(TRIM(A36))=0,"",COUNTIFS(Students!H:H, A36))</f>
        <v/>
      </c>
      <c r="G36" s="4" t="str">
        <f>IF(LEN(TRIM(A36))=0,"",COUNTIFS(Students!H:H, A36, Students!D:D, "&lt;&gt;"))</f>
        <v/>
      </c>
      <c r="H36" s="4" t="str">
        <f t="shared" si="0"/>
        <v/>
      </c>
      <c r="I36" s="5" t="str">
        <f t="shared" si="1"/>
        <v/>
      </c>
    </row>
    <row r="37" spans="6:9" x14ac:dyDescent="0.2">
      <c r="F37" s="4" t="str">
        <f>IF(LEN(TRIM(A37))=0,"",COUNTIFS(Students!H:H, A37))</f>
        <v/>
      </c>
      <c r="G37" s="4" t="str">
        <f>IF(LEN(TRIM(A37))=0,"",COUNTIFS(Students!H:H, A37, Students!D:D, "&lt;&gt;"))</f>
        <v/>
      </c>
      <c r="H37" s="4" t="str">
        <f t="shared" si="0"/>
        <v/>
      </c>
      <c r="I37" s="5" t="str">
        <f t="shared" si="1"/>
        <v/>
      </c>
    </row>
    <row r="38" spans="6:9" x14ac:dyDescent="0.2">
      <c r="F38" s="4" t="str">
        <f>IF(LEN(TRIM(A38))=0,"",COUNTIFS(Students!H:H, A38))</f>
        <v/>
      </c>
      <c r="G38" s="4" t="str">
        <f>IF(LEN(TRIM(A38))=0,"",COUNTIFS(Students!H:H, A38, Students!D:D, "&lt;&gt;"))</f>
        <v/>
      </c>
      <c r="H38" s="4" t="str">
        <f t="shared" si="0"/>
        <v/>
      </c>
      <c r="I38" s="5" t="str">
        <f t="shared" si="1"/>
        <v/>
      </c>
    </row>
    <row r="39" spans="6:9" x14ac:dyDescent="0.2">
      <c r="F39" s="4" t="str">
        <f>IF(LEN(TRIM(A39))=0,"",COUNTIFS(Students!H:H, A39))</f>
        <v/>
      </c>
      <c r="G39" s="4" t="str">
        <f>IF(LEN(TRIM(A39))=0,"",COUNTIFS(Students!H:H, A39, Students!D:D, "&lt;&gt;"))</f>
        <v/>
      </c>
      <c r="H39" s="4" t="str">
        <f t="shared" si="0"/>
        <v/>
      </c>
      <c r="I39" s="5" t="str">
        <f t="shared" si="1"/>
        <v/>
      </c>
    </row>
    <row r="40" spans="6:9" x14ac:dyDescent="0.2">
      <c r="F40" s="4" t="str">
        <f>IF(LEN(TRIM(A40))=0,"",COUNTIFS(Students!H:H, A40))</f>
        <v/>
      </c>
      <c r="G40" s="4" t="str">
        <f>IF(LEN(TRIM(A40))=0,"",COUNTIFS(Students!H:H, A40, Students!D:D, "&lt;&gt;"))</f>
        <v/>
      </c>
      <c r="H40" s="4" t="str">
        <f t="shared" si="0"/>
        <v/>
      </c>
      <c r="I40" s="5" t="str">
        <f t="shared" si="1"/>
        <v/>
      </c>
    </row>
    <row r="41" spans="6:9" x14ac:dyDescent="0.2">
      <c r="F41" s="4" t="str">
        <f>IF(LEN(TRIM(A41))=0,"",COUNTIFS(Students!H:H, A41))</f>
        <v/>
      </c>
      <c r="G41" s="4" t="str">
        <f>IF(LEN(TRIM(A41))=0,"",COUNTIFS(Students!H:H, A41, Students!D:D, "&lt;&gt;"))</f>
        <v/>
      </c>
      <c r="H41" s="4" t="str">
        <f t="shared" si="0"/>
        <v/>
      </c>
      <c r="I41" s="5" t="str">
        <f t="shared" si="1"/>
        <v/>
      </c>
    </row>
    <row r="42" spans="6:9" x14ac:dyDescent="0.2">
      <c r="F42" s="4" t="str">
        <f>IF(LEN(TRIM(A42))=0,"",COUNTIFS(Students!H:H, A42))</f>
        <v/>
      </c>
      <c r="G42" s="4" t="str">
        <f>IF(LEN(TRIM(A42))=0,"",COUNTIFS(Students!H:H, A42, Students!D:D, "&lt;&gt;"))</f>
        <v/>
      </c>
      <c r="H42" s="4" t="str">
        <f t="shared" si="0"/>
        <v/>
      </c>
      <c r="I42" s="5" t="str">
        <f t="shared" si="1"/>
        <v/>
      </c>
    </row>
    <row r="43" spans="6:9" x14ac:dyDescent="0.2">
      <c r="F43" s="4" t="str">
        <f>IF(LEN(TRIM(A43))=0,"",COUNTIFS(Students!H:H, A43))</f>
        <v/>
      </c>
      <c r="G43" s="4" t="str">
        <f>IF(LEN(TRIM(A43))=0,"",COUNTIFS(Students!H:H, A43, Students!D:D, "&lt;&gt;"))</f>
        <v/>
      </c>
      <c r="H43" s="4" t="str">
        <f t="shared" si="0"/>
        <v/>
      </c>
      <c r="I43" s="5" t="str">
        <f t="shared" si="1"/>
        <v/>
      </c>
    </row>
    <row r="44" spans="6:9" x14ac:dyDescent="0.2">
      <c r="F44" s="4" t="str">
        <f>IF(LEN(TRIM(A44))=0,"",COUNTIFS(Students!H:H, A44))</f>
        <v/>
      </c>
      <c r="G44" s="4" t="str">
        <f>IF(LEN(TRIM(A44))=0,"",COUNTIFS(Students!H:H, A44, Students!D:D, "&lt;&gt;"))</f>
        <v/>
      </c>
      <c r="H44" s="4" t="str">
        <f t="shared" si="0"/>
        <v/>
      </c>
      <c r="I44" s="5" t="str">
        <f t="shared" si="1"/>
        <v/>
      </c>
    </row>
    <row r="45" spans="6:9" x14ac:dyDescent="0.2">
      <c r="F45" s="4" t="str">
        <f>IF(LEN(TRIM(A45))=0,"",COUNTIFS(Students!H:H, A45))</f>
        <v/>
      </c>
      <c r="G45" s="4" t="str">
        <f>IF(LEN(TRIM(A45))=0,"",COUNTIFS(Students!H:H, A45, Students!D:D, "&lt;&gt;"))</f>
        <v/>
      </c>
      <c r="H45" s="4" t="str">
        <f t="shared" si="0"/>
        <v/>
      </c>
      <c r="I45" s="5" t="str">
        <f t="shared" si="1"/>
        <v/>
      </c>
    </row>
    <row r="46" spans="6:9" x14ac:dyDescent="0.2">
      <c r="F46" s="4" t="str">
        <f>IF(LEN(TRIM(A46))=0,"",COUNTIFS(Students!H:H, A46))</f>
        <v/>
      </c>
      <c r="G46" s="4" t="str">
        <f>IF(LEN(TRIM(A46))=0,"",COUNTIFS(Students!H:H, A46, Students!D:D, "&lt;&gt;"))</f>
        <v/>
      </c>
      <c r="H46" s="4" t="str">
        <f t="shared" si="0"/>
        <v/>
      </c>
      <c r="I46" s="5" t="str">
        <f t="shared" si="1"/>
        <v/>
      </c>
    </row>
    <row r="47" spans="6:9" x14ac:dyDescent="0.2">
      <c r="F47" s="4" t="str">
        <f>IF(LEN(TRIM(A47))=0,"",COUNTIFS(Students!H:H, A47))</f>
        <v/>
      </c>
      <c r="G47" s="4" t="str">
        <f>IF(LEN(TRIM(A47))=0,"",COUNTIFS(Students!H:H, A47, Students!D:D, "&lt;&gt;"))</f>
        <v/>
      </c>
      <c r="H47" s="4" t="str">
        <f t="shared" si="0"/>
        <v/>
      </c>
      <c r="I47" s="5" t="str">
        <f t="shared" si="1"/>
        <v/>
      </c>
    </row>
    <row r="48" spans="6:9" x14ac:dyDescent="0.2">
      <c r="F48" s="4" t="str">
        <f>IF(LEN(TRIM(A48))=0,"",COUNTIFS(Students!H:H, A48))</f>
        <v/>
      </c>
      <c r="G48" s="4" t="str">
        <f>IF(LEN(TRIM(A48))=0,"",COUNTIFS(Students!H:H, A48, Students!D:D, "&lt;&gt;"))</f>
        <v/>
      </c>
      <c r="H48" s="4" t="str">
        <f t="shared" si="0"/>
        <v/>
      </c>
      <c r="I48" s="5" t="str">
        <f t="shared" si="1"/>
        <v/>
      </c>
    </row>
    <row r="49" spans="6:9" x14ac:dyDescent="0.2">
      <c r="F49" s="4" t="str">
        <f>IF(LEN(TRIM(A49))=0,"",COUNTIFS(Students!H:H, A49))</f>
        <v/>
      </c>
      <c r="G49" s="4" t="str">
        <f>IF(LEN(TRIM(A49))=0,"",COUNTIFS(Students!H:H, A49, Students!D:D, "&lt;&gt;"))</f>
        <v/>
      </c>
      <c r="H49" s="4" t="str">
        <f t="shared" si="0"/>
        <v/>
      </c>
      <c r="I49" s="5" t="str">
        <f t="shared" si="1"/>
        <v/>
      </c>
    </row>
    <row r="50" spans="6:9" x14ac:dyDescent="0.2">
      <c r="F50" s="4" t="str">
        <f>IF(LEN(TRIM(A50))=0,"",COUNTIFS(Students!H:H, A50))</f>
        <v/>
      </c>
      <c r="G50" s="4" t="str">
        <f>IF(LEN(TRIM(A50))=0,"",COUNTIFS(Students!H:H, A50, Students!D:D, "&lt;&gt;"))</f>
        <v/>
      </c>
      <c r="H50" s="4" t="str">
        <f t="shared" si="0"/>
        <v/>
      </c>
      <c r="I50" s="5" t="str">
        <f t="shared" si="1"/>
        <v/>
      </c>
    </row>
    <row r="51" spans="6:9" x14ac:dyDescent="0.2">
      <c r="F51" s="4" t="str">
        <f>IF(LEN(TRIM(A51))=0,"",COUNTIFS(Students!H:H, A51))</f>
        <v/>
      </c>
      <c r="G51" s="4" t="str">
        <f>IF(LEN(TRIM(A51))=0,"",COUNTIFS(Students!H:H, A51, Students!D:D, "&lt;&gt;"))</f>
        <v/>
      </c>
      <c r="H51" s="4" t="str">
        <f t="shared" si="0"/>
        <v/>
      </c>
      <c r="I51" s="5" t="str">
        <f t="shared" si="1"/>
        <v/>
      </c>
    </row>
    <row r="52" spans="6:9" x14ac:dyDescent="0.2">
      <c r="F52" s="4" t="str">
        <f>IF(LEN(TRIM(A52))=0,"",COUNTIFS(Students!H:H, A52))</f>
        <v/>
      </c>
      <c r="G52" s="4" t="str">
        <f>IF(LEN(TRIM(A52))=0,"",COUNTIFS(Students!H:H, A52, Students!D:D, "&lt;&gt;"))</f>
        <v/>
      </c>
      <c r="H52" s="4" t="str">
        <f t="shared" si="0"/>
        <v/>
      </c>
      <c r="I52" s="5" t="str">
        <f t="shared" si="1"/>
        <v/>
      </c>
    </row>
    <row r="53" spans="6:9" x14ac:dyDescent="0.2">
      <c r="F53" s="4" t="str">
        <f>IF(LEN(TRIM(A53))=0,"",COUNTIFS(Students!H:H, A53))</f>
        <v/>
      </c>
      <c r="G53" s="4" t="str">
        <f>IF(LEN(TRIM(A53))=0,"",COUNTIFS(Students!H:H, A53, Students!D:D, "&lt;&gt;"))</f>
        <v/>
      </c>
      <c r="H53" s="4" t="str">
        <f t="shared" si="0"/>
        <v/>
      </c>
      <c r="I53" s="5" t="str">
        <f t="shared" si="1"/>
        <v/>
      </c>
    </row>
    <row r="54" spans="6:9" x14ac:dyDescent="0.2">
      <c r="F54" s="4" t="str">
        <f>IF(LEN(TRIM(A54))=0,"",COUNTIFS(Students!H:H, A54))</f>
        <v/>
      </c>
      <c r="G54" s="4" t="str">
        <f>IF(LEN(TRIM(A54))=0,"",COUNTIFS(Students!H:H, A54, Students!D:D, "&lt;&gt;"))</f>
        <v/>
      </c>
      <c r="H54" s="4" t="str">
        <f t="shared" si="0"/>
        <v/>
      </c>
      <c r="I54" s="5" t="str">
        <f t="shared" si="1"/>
        <v/>
      </c>
    </row>
    <row r="55" spans="6:9" x14ac:dyDescent="0.2">
      <c r="F55" s="4" t="str">
        <f>IF(LEN(TRIM(A55))=0,"",COUNTIFS(Students!H:H, A55))</f>
        <v/>
      </c>
      <c r="G55" s="4" t="str">
        <f>IF(LEN(TRIM(A55))=0,"",COUNTIFS(Students!H:H, A55, Students!D:D, "&lt;&gt;"))</f>
        <v/>
      </c>
      <c r="H55" s="4" t="str">
        <f t="shared" si="0"/>
        <v/>
      </c>
      <c r="I55" s="5" t="str">
        <f t="shared" si="1"/>
        <v/>
      </c>
    </row>
    <row r="56" spans="6:9" x14ac:dyDescent="0.2">
      <c r="F56" s="4" t="str">
        <f>IF(LEN(TRIM(A56))=0,"",COUNTIFS(Students!H:H, A56))</f>
        <v/>
      </c>
      <c r="G56" s="4" t="str">
        <f>IF(LEN(TRIM(A56))=0,"",COUNTIFS(Students!H:H, A56, Students!D:D, "&lt;&gt;"))</f>
        <v/>
      </c>
      <c r="H56" s="4" t="str">
        <f t="shared" si="0"/>
        <v/>
      </c>
      <c r="I56" s="5" t="str">
        <f t="shared" si="1"/>
        <v/>
      </c>
    </row>
    <row r="57" spans="6:9" x14ac:dyDescent="0.2">
      <c r="F57" s="4" t="str">
        <f>IF(LEN(TRIM(A57))=0,"",COUNTIFS(Students!H:H, A57))</f>
        <v/>
      </c>
      <c r="G57" s="4" t="str">
        <f>IF(LEN(TRIM(A57))=0,"",COUNTIFS(Students!H:H, A57, Students!D:D, "&lt;&gt;"))</f>
        <v/>
      </c>
      <c r="H57" s="4" t="str">
        <f t="shared" si="0"/>
        <v/>
      </c>
      <c r="I57" s="5" t="str">
        <f t="shared" si="1"/>
        <v/>
      </c>
    </row>
    <row r="58" spans="6:9" x14ac:dyDescent="0.2">
      <c r="F58" s="4" t="str">
        <f>IF(LEN(TRIM(A58))=0,"",COUNTIFS(Students!H:H, A58))</f>
        <v/>
      </c>
      <c r="G58" s="4" t="str">
        <f>IF(LEN(TRIM(A58))=0,"",COUNTIFS(Students!H:H, A58, Students!D:D, "&lt;&gt;"))</f>
        <v/>
      </c>
      <c r="H58" s="4" t="str">
        <f t="shared" si="0"/>
        <v/>
      </c>
      <c r="I58" s="5" t="str">
        <f t="shared" si="1"/>
        <v/>
      </c>
    </row>
    <row r="59" spans="6:9" x14ac:dyDescent="0.2">
      <c r="F59" s="4" t="str">
        <f>IF(LEN(TRIM(A59))=0,"",COUNTIFS(Students!H:H, A59))</f>
        <v/>
      </c>
      <c r="G59" s="4" t="str">
        <f>IF(LEN(TRIM(A59))=0,"",COUNTIFS(Students!H:H, A59, Students!D:D, "&lt;&gt;"))</f>
        <v/>
      </c>
      <c r="H59" s="4" t="str">
        <f t="shared" si="0"/>
        <v/>
      </c>
      <c r="I59" s="5" t="str">
        <f t="shared" si="1"/>
        <v/>
      </c>
    </row>
    <row r="60" spans="6:9" x14ac:dyDescent="0.2">
      <c r="F60" s="4" t="str">
        <f>IF(LEN(TRIM(A60))=0,"",COUNTIFS(Students!H:H, A60))</f>
        <v/>
      </c>
      <c r="G60" s="4" t="str">
        <f>IF(LEN(TRIM(A60))=0,"",COUNTIFS(Students!H:H, A60, Students!D:D, "&lt;&gt;"))</f>
        <v/>
      </c>
      <c r="H60" s="4" t="str">
        <f t="shared" si="0"/>
        <v/>
      </c>
      <c r="I60" s="5" t="str">
        <f t="shared" si="1"/>
        <v/>
      </c>
    </row>
    <row r="61" spans="6:9" x14ac:dyDescent="0.2">
      <c r="F61" s="4" t="str">
        <f>IF(LEN(TRIM(A61))=0,"",COUNTIFS(Students!H:H, A61))</f>
        <v/>
      </c>
      <c r="G61" s="4" t="str">
        <f>IF(LEN(TRIM(A61))=0,"",COUNTIFS(Students!H:H, A61, Students!D:D, "&lt;&gt;"))</f>
        <v/>
      </c>
      <c r="H61" s="4" t="str">
        <f t="shared" si="0"/>
        <v/>
      </c>
      <c r="I61" s="5" t="str">
        <f t="shared" si="1"/>
        <v/>
      </c>
    </row>
    <row r="62" spans="6:9" x14ac:dyDescent="0.2">
      <c r="F62" s="4" t="str">
        <f>IF(LEN(TRIM(A62))=0,"",COUNTIFS(Students!H:H, A62))</f>
        <v/>
      </c>
      <c r="G62" s="4" t="str">
        <f>IF(LEN(TRIM(A62))=0,"",COUNTIFS(Students!H:H, A62, Students!D:D, "&lt;&gt;"))</f>
        <v/>
      </c>
      <c r="H62" s="4" t="str">
        <f t="shared" si="0"/>
        <v/>
      </c>
      <c r="I62" s="5" t="str">
        <f t="shared" si="1"/>
        <v/>
      </c>
    </row>
    <row r="63" spans="6:9" x14ac:dyDescent="0.2">
      <c r="F63" s="4" t="str">
        <f>IF(LEN(TRIM(A63))=0,"",COUNTIFS(Students!H:H, A63))</f>
        <v/>
      </c>
      <c r="G63" s="4" t="str">
        <f>IF(LEN(TRIM(A63))=0,"",COUNTIFS(Students!H:H, A63, Students!D:D, "&lt;&gt;"))</f>
        <v/>
      </c>
      <c r="H63" s="4" t="str">
        <f t="shared" si="0"/>
        <v/>
      </c>
      <c r="I63" s="5" t="str">
        <f t="shared" si="1"/>
        <v/>
      </c>
    </row>
    <row r="64" spans="6:9" x14ac:dyDescent="0.2">
      <c r="F64" s="4" t="str">
        <f>IF(LEN(TRIM(A64))=0,"",COUNTIFS(Students!H:H, A64))</f>
        <v/>
      </c>
      <c r="G64" s="4" t="str">
        <f>IF(LEN(TRIM(A64))=0,"",COUNTIFS(Students!H:H, A64, Students!D:D, "&lt;&gt;"))</f>
        <v/>
      </c>
      <c r="H64" s="4" t="str">
        <f t="shared" si="0"/>
        <v/>
      </c>
      <c r="I64" s="5" t="str">
        <f t="shared" si="1"/>
        <v/>
      </c>
    </row>
    <row r="65" spans="6:9" x14ac:dyDescent="0.2">
      <c r="F65" s="4" t="str">
        <f>IF(LEN(TRIM(A65))=0,"",COUNTIFS(Students!H:H, A65))</f>
        <v/>
      </c>
      <c r="G65" s="4" t="str">
        <f>IF(LEN(TRIM(A65))=0,"",COUNTIFS(Students!H:H, A65, Students!D:D, "&lt;&gt;"))</f>
        <v/>
      </c>
      <c r="H65" s="4" t="str">
        <f t="shared" si="0"/>
        <v/>
      </c>
      <c r="I65" s="5" t="str">
        <f t="shared" si="1"/>
        <v/>
      </c>
    </row>
    <row r="66" spans="6:9" x14ac:dyDescent="0.2">
      <c r="F66" s="4" t="str">
        <f>IF(LEN(TRIM(A66))=0,"",COUNTIFS(Students!H:H, A66))</f>
        <v/>
      </c>
      <c r="G66" s="4" t="str">
        <f>IF(LEN(TRIM(A66))=0,"",COUNTIFS(Students!H:H, A66, Students!D:D, "&lt;&gt;"))</f>
        <v/>
      </c>
      <c r="H66" s="4" t="str">
        <f t="shared" si="0"/>
        <v/>
      </c>
      <c r="I66" s="5" t="str">
        <f t="shared" si="1"/>
        <v/>
      </c>
    </row>
    <row r="67" spans="6:9" x14ac:dyDescent="0.2">
      <c r="F67" s="4" t="str">
        <f>IF(LEN(TRIM(A67))=0,"",COUNTIFS(Students!H:H, A67))</f>
        <v/>
      </c>
      <c r="G67" s="4" t="str">
        <f>IF(LEN(TRIM(A67))=0,"",COUNTIFS(Students!H:H, A67, Students!D:D, "&lt;&gt;"))</f>
        <v/>
      </c>
      <c r="H67" s="4" t="str">
        <f t="shared" ref="H67:H130" si="2">IFERROR(F67-G67,"")</f>
        <v/>
      </c>
      <c r="I67" s="5" t="str">
        <f t="shared" ref="I67:I130" si="3">IFERROR(IF(F67=0, "N/A", G67/F67),"")</f>
        <v/>
      </c>
    </row>
    <row r="68" spans="6:9" x14ac:dyDescent="0.2">
      <c r="F68" s="4" t="str">
        <f>IF(LEN(TRIM(A68))=0,"",COUNTIFS(Students!H:H, A68))</f>
        <v/>
      </c>
      <c r="G68" s="4" t="str">
        <f>IF(LEN(TRIM(A68))=0,"",COUNTIFS(Students!H:H, A68, Students!D:D, "&lt;&gt;"))</f>
        <v/>
      </c>
      <c r="H68" s="4" t="str">
        <f t="shared" si="2"/>
        <v/>
      </c>
      <c r="I68" s="5" t="str">
        <f t="shared" si="3"/>
        <v/>
      </c>
    </row>
    <row r="69" spans="6:9" x14ac:dyDescent="0.2">
      <c r="F69" s="4" t="str">
        <f>IF(LEN(TRIM(A69))=0,"",COUNTIFS(Students!H:H, A69))</f>
        <v/>
      </c>
      <c r="G69" s="4" t="str">
        <f>IF(LEN(TRIM(A69))=0,"",COUNTIFS(Students!H:H, A69, Students!D:D, "&lt;&gt;"))</f>
        <v/>
      </c>
      <c r="H69" s="4" t="str">
        <f t="shared" si="2"/>
        <v/>
      </c>
      <c r="I69" s="5" t="str">
        <f t="shared" si="3"/>
        <v/>
      </c>
    </row>
    <row r="70" spans="6:9" x14ac:dyDescent="0.2">
      <c r="F70" s="4" t="str">
        <f>IF(LEN(TRIM(A70))=0,"",COUNTIFS(Students!H:H, A70))</f>
        <v/>
      </c>
      <c r="G70" s="4" t="str">
        <f>IF(LEN(TRIM(A70))=0,"",COUNTIFS(Students!H:H, A70, Students!D:D, "&lt;&gt;"))</f>
        <v/>
      </c>
      <c r="H70" s="4" t="str">
        <f t="shared" si="2"/>
        <v/>
      </c>
      <c r="I70" s="5" t="str">
        <f t="shared" si="3"/>
        <v/>
      </c>
    </row>
    <row r="71" spans="6:9" x14ac:dyDescent="0.2">
      <c r="F71" s="4" t="str">
        <f>IF(LEN(TRIM(A71))=0,"",COUNTIFS(Students!H:H, A71))</f>
        <v/>
      </c>
      <c r="G71" s="4" t="str">
        <f>IF(LEN(TRIM(A71))=0,"",COUNTIFS(Students!H:H, A71, Students!D:D, "&lt;&gt;"))</f>
        <v/>
      </c>
      <c r="H71" s="4" t="str">
        <f t="shared" si="2"/>
        <v/>
      </c>
      <c r="I71" s="5" t="str">
        <f t="shared" si="3"/>
        <v/>
      </c>
    </row>
    <row r="72" spans="6:9" x14ac:dyDescent="0.2">
      <c r="F72" s="4" t="str">
        <f>IF(LEN(TRIM(A72))=0,"",COUNTIFS(Students!H:H, A72))</f>
        <v/>
      </c>
      <c r="G72" s="4" t="str">
        <f>IF(LEN(TRIM(A72))=0,"",COUNTIFS(Students!H:H, A72, Students!D:D, "&lt;&gt;"))</f>
        <v/>
      </c>
      <c r="H72" s="4" t="str">
        <f t="shared" si="2"/>
        <v/>
      </c>
      <c r="I72" s="5" t="str">
        <f t="shared" si="3"/>
        <v/>
      </c>
    </row>
    <row r="73" spans="6:9" x14ac:dyDescent="0.2">
      <c r="F73" s="4" t="str">
        <f>IF(LEN(TRIM(A73))=0,"",COUNTIFS(Students!H:H, A73))</f>
        <v/>
      </c>
      <c r="G73" s="4" t="str">
        <f>IF(LEN(TRIM(A73))=0,"",COUNTIFS(Students!H:H, A73, Students!D:D, "&lt;&gt;"))</f>
        <v/>
      </c>
      <c r="H73" s="4" t="str">
        <f t="shared" si="2"/>
        <v/>
      </c>
      <c r="I73" s="5" t="str">
        <f t="shared" si="3"/>
        <v/>
      </c>
    </row>
    <row r="74" spans="6:9" x14ac:dyDescent="0.2">
      <c r="F74" s="4" t="str">
        <f>IF(LEN(TRIM(A74))=0,"",COUNTIFS(Students!H:H, A74))</f>
        <v/>
      </c>
      <c r="G74" s="4" t="str">
        <f>IF(LEN(TRIM(A74))=0,"",COUNTIFS(Students!H:H, A74, Students!D:D, "&lt;&gt;"))</f>
        <v/>
      </c>
      <c r="H74" s="4" t="str">
        <f t="shared" si="2"/>
        <v/>
      </c>
      <c r="I74" s="5" t="str">
        <f t="shared" si="3"/>
        <v/>
      </c>
    </row>
    <row r="75" spans="6:9" x14ac:dyDescent="0.2">
      <c r="F75" s="4" t="str">
        <f>IF(LEN(TRIM(A75))=0,"",COUNTIFS(Students!H:H, A75))</f>
        <v/>
      </c>
      <c r="G75" s="4" t="str">
        <f>IF(LEN(TRIM(A75))=0,"",COUNTIFS(Students!H:H, A75, Students!D:D, "&lt;&gt;"))</f>
        <v/>
      </c>
      <c r="H75" s="4" t="str">
        <f t="shared" si="2"/>
        <v/>
      </c>
      <c r="I75" s="5" t="str">
        <f t="shared" si="3"/>
        <v/>
      </c>
    </row>
    <row r="76" spans="6:9" x14ac:dyDescent="0.2">
      <c r="F76" s="4" t="str">
        <f>IF(LEN(TRIM(A76))=0,"",COUNTIFS(Students!H:H, A76))</f>
        <v/>
      </c>
      <c r="G76" s="4" t="str">
        <f>IF(LEN(TRIM(A76))=0,"",COUNTIFS(Students!H:H, A76, Students!D:D, "&lt;&gt;"))</f>
        <v/>
      </c>
      <c r="H76" s="4" t="str">
        <f t="shared" si="2"/>
        <v/>
      </c>
      <c r="I76" s="5" t="str">
        <f t="shared" si="3"/>
        <v/>
      </c>
    </row>
    <row r="77" spans="6:9" x14ac:dyDescent="0.2">
      <c r="F77" s="4" t="str">
        <f>IF(LEN(TRIM(A77))=0,"",COUNTIFS(Students!H:H, A77))</f>
        <v/>
      </c>
      <c r="G77" s="4" t="str">
        <f>IF(LEN(TRIM(A77))=0,"",COUNTIFS(Students!H:H, A77, Students!D:D, "&lt;&gt;"))</f>
        <v/>
      </c>
      <c r="H77" s="4" t="str">
        <f t="shared" si="2"/>
        <v/>
      </c>
      <c r="I77" s="5" t="str">
        <f t="shared" si="3"/>
        <v/>
      </c>
    </row>
    <row r="78" spans="6:9" x14ac:dyDescent="0.2">
      <c r="F78" s="4" t="str">
        <f>IF(LEN(TRIM(A78))=0,"",COUNTIFS(Students!H:H, A78))</f>
        <v/>
      </c>
      <c r="G78" s="4" t="str">
        <f>IF(LEN(TRIM(A78))=0,"",COUNTIFS(Students!H:H, A78, Students!D:D, "&lt;&gt;"))</f>
        <v/>
      </c>
      <c r="H78" s="4" t="str">
        <f t="shared" si="2"/>
        <v/>
      </c>
      <c r="I78" s="5" t="str">
        <f t="shared" si="3"/>
        <v/>
      </c>
    </row>
    <row r="79" spans="6:9" x14ac:dyDescent="0.2">
      <c r="F79" s="4" t="str">
        <f>IF(LEN(TRIM(A79))=0,"",COUNTIFS(Students!H:H, A79))</f>
        <v/>
      </c>
      <c r="G79" s="4" t="str">
        <f>IF(LEN(TRIM(A79))=0,"",COUNTIFS(Students!H:H, A79, Students!D:D, "&lt;&gt;"))</f>
        <v/>
      </c>
      <c r="H79" s="4" t="str">
        <f t="shared" si="2"/>
        <v/>
      </c>
      <c r="I79" s="5" t="str">
        <f t="shared" si="3"/>
        <v/>
      </c>
    </row>
    <row r="80" spans="6:9" x14ac:dyDescent="0.2">
      <c r="F80" s="4" t="str">
        <f>IF(LEN(TRIM(A80))=0,"",COUNTIFS(Students!H:H, A80))</f>
        <v/>
      </c>
      <c r="G80" s="4" t="str">
        <f>IF(LEN(TRIM(A80))=0,"",COUNTIFS(Students!H:H, A80, Students!D:D, "&lt;&gt;"))</f>
        <v/>
      </c>
      <c r="H80" s="4" t="str">
        <f t="shared" si="2"/>
        <v/>
      </c>
      <c r="I80" s="5" t="str">
        <f t="shared" si="3"/>
        <v/>
      </c>
    </row>
    <row r="81" spans="6:9" x14ac:dyDescent="0.2">
      <c r="F81" s="4" t="str">
        <f>IF(LEN(TRIM(A81))=0,"",COUNTIFS(Students!H:H, A81))</f>
        <v/>
      </c>
      <c r="G81" s="4" t="str">
        <f>IF(LEN(TRIM(A81))=0,"",COUNTIFS(Students!H:H, A81, Students!D:D, "&lt;&gt;"))</f>
        <v/>
      </c>
      <c r="H81" s="4" t="str">
        <f t="shared" si="2"/>
        <v/>
      </c>
      <c r="I81" s="5" t="str">
        <f t="shared" si="3"/>
        <v/>
      </c>
    </row>
    <row r="82" spans="6:9" x14ac:dyDescent="0.2">
      <c r="F82" s="4" t="str">
        <f>IF(LEN(TRIM(A82))=0,"",COUNTIFS(Students!H:H, A82))</f>
        <v/>
      </c>
      <c r="G82" s="4" t="str">
        <f>IF(LEN(TRIM(A82))=0,"",COUNTIFS(Students!H:H, A82, Students!D:D, "&lt;&gt;"))</f>
        <v/>
      </c>
      <c r="H82" s="4" t="str">
        <f t="shared" si="2"/>
        <v/>
      </c>
      <c r="I82" s="5" t="str">
        <f t="shared" si="3"/>
        <v/>
      </c>
    </row>
    <row r="83" spans="6:9" x14ac:dyDescent="0.2">
      <c r="F83" s="4" t="str">
        <f>IF(LEN(TRIM(A83))=0,"",COUNTIFS(Students!H:H, A83))</f>
        <v/>
      </c>
      <c r="G83" s="4" t="str">
        <f>IF(LEN(TRIM(A83))=0,"",COUNTIFS(Students!H:H, A83, Students!D:D, "&lt;&gt;"))</f>
        <v/>
      </c>
      <c r="H83" s="4" t="str">
        <f t="shared" si="2"/>
        <v/>
      </c>
      <c r="I83" s="5" t="str">
        <f t="shared" si="3"/>
        <v/>
      </c>
    </row>
    <row r="84" spans="6:9" x14ac:dyDescent="0.2">
      <c r="F84" s="4" t="str">
        <f>IF(LEN(TRIM(A84))=0,"",COUNTIFS(Students!H:H, A84))</f>
        <v/>
      </c>
      <c r="G84" s="4" t="str">
        <f>IF(LEN(TRIM(A84))=0,"",COUNTIFS(Students!H:H, A84, Students!D:D, "&lt;&gt;"))</f>
        <v/>
      </c>
      <c r="H84" s="4" t="str">
        <f t="shared" si="2"/>
        <v/>
      </c>
      <c r="I84" s="5" t="str">
        <f t="shared" si="3"/>
        <v/>
      </c>
    </row>
    <row r="85" spans="6:9" x14ac:dyDescent="0.2">
      <c r="F85" s="4" t="str">
        <f>IF(LEN(TRIM(A85))=0,"",COUNTIFS(Students!H:H, A85))</f>
        <v/>
      </c>
      <c r="G85" s="4" t="str">
        <f>IF(LEN(TRIM(A85))=0,"",COUNTIFS(Students!H:H, A85, Students!D:D, "&lt;&gt;"))</f>
        <v/>
      </c>
      <c r="H85" s="4" t="str">
        <f t="shared" si="2"/>
        <v/>
      </c>
      <c r="I85" s="5" t="str">
        <f t="shared" si="3"/>
        <v/>
      </c>
    </row>
    <row r="86" spans="6:9" x14ac:dyDescent="0.2">
      <c r="F86" s="4" t="str">
        <f>IF(LEN(TRIM(A86))=0,"",COUNTIFS(Students!H:H, A86))</f>
        <v/>
      </c>
      <c r="G86" s="4" t="str">
        <f>IF(LEN(TRIM(A86))=0,"",COUNTIFS(Students!H:H, A86, Students!D:D, "&lt;&gt;"))</f>
        <v/>
      </c>
      <c r="H86" s="4" t="str">
        <f t="shared" si="2"/>
        <v/>
      </c>
      <c r="I86" s="5" t="str">
        <f t="shared" si="3"/>
        <v/>
      </c>
    </row>
    <row r="87" spans="6:9" x14ac:dyDescent="0.2">
      <c r="F87" s="4" t="str">
        <f>IF(LEN(TRIM(A87))=0,"",COUNTIFS(Students!H:H, A87))</f>
        <v/>
      </c>
      <c r="G87" s="4" t="str">
        <f>IF(LEN(TRIM(A87))=0,"",COUNTIFS(Students!H:H, A87, Students!D:D, "&lt;&gt;"))</f>
        <v/>
      </c>
      <c r="H87" s="4" t="str">
        <f t="shared" si="2"/>
        <v/>
      </c>
      <c r="I87" s="5" t="str">
        <f t="shared" si="3"/>
        <v/>
      </c>
    </row>
    <row r="88" spans="6:9" x14ac:dyDescent="0.2">
      <c r="F88" s="4" t="str">
        <f>IF(LEN(TRIM(A88))=0,"",COUNTIFS(Students!H:H, A88))</f>
        <v/>
      </c>
      <c r="G88" s="4" t="str">
        <f>IF(LEN(TRIM(A88))=0,"",COUNTIFS(Students!H:H, A88, Students!D:D, "&lt;&gt;"))</f>
        <v/>
      </c>
      <c r="H88" s="4" t="str">
        <f t="shared" si="2"/>
        <v/>
      </c>
      <c r="I88" s="5" t="str">
        <f t="shared" si="3"/>
        <v/>
      </c>
    </row>
    <row r="89" spans="6:9" x14ac:dyDescent="0.2">
      <c r="F89" s="4" t="str">
        <f>IF(LEN(TRIM(A89))=0,"",COUNTIFS(Students!H:H, A89))</f>
        <v/>
      </c>
      <c r="G89" s="4" t="str">
        <f>IF(LEN(TRIM(A89))=0,"",COUNTIFS(Students!H:H, A89, Students!D:D, "&lt;&gt;"))</f>
        <v/>
      </c>
      <c r="H89" s="4" t="str">
        <f t="shared" si="2"/>
        <v/>
      </c>
      <c r="I89" s="5" t="str">
        <f t="shared" si="3"/>
        <v/>
      </c>
    </row>
    <row r="90" spans="6:9" x14ac:dyDescent="0.2">
      <c r="F90" s="4" t="str">
        <f>IF(LEN(TRIM(A90))=0,"",COUNTIFS(Students!H:H, A90))</f>
        <v/>
      </c>
      <c r="G90" s="4" t="str">
        <f>IF(LEN(TRIM(A90))=0,"",COUNTIFS(Students!H:H, A90, Students!D:D, "&lt;&gt;"))</f>
        <v/>
      </c>
      <c r="H90" s="4" t="str">
        <f t="shared" si="2"/>
        <v/>
      </c>
      <c r="I90" s="5" t="str">
        <f t="shared" si="3"/>
        <v/>
      </c>
    </row>
    <row r="91" spans="6:9" x14ac:dyDescent="0.2">
      <c r="F91" s="4" t="str">
        <f>IF(LEN(TRIM(A91))=0,"",COUNTIFS(Students!H:H, A91))</f>
        <v/>
      </c>
      <c r="G91" s="4" t="str">
        <f>IF(LEN(TRIM(A91))=0,"",COUNTIFS(Students!H:H, A91, Students!D:D, "&lt;&gt;"))</f>
        <v/>
      </c>
      <c r="H91" s="4" t="str">
        <f t="shared" si="2"/>
        <v/>
      </c>
      <c r="I91" s="5" t="str">
        <f t="shared" si="3"/>
        <v/>
      </c>
    </row>
    <row r="92" spans="6:9" x14ac:dyDescent="0.2">
      <c r="F92" s="4" t="str">
        <f>IF(LEN(TRIM(A92))=0,"",COUNTIFS(Students!H:H, A92))</f>
        <v/>
      </c>
      <c r="G92" s="4" t="str">
        <f>IF(LEN(TRIM(A92))=0,"",COUNTIFS(Students!H:H, A92, Students!D:D, "&lt;&gt;"))</f>
        <v/>
      </c>
      <c r="H92" s="4" t="str">
        <f t="shared" si="2"/>
        <v/>
      </c>
      <c r="I92" s="5" t="str">
        <f t="shared" si="3"/>
        <v/>
      </c>
    </row>
    <row r="93" spans="6:9" x14ac:dyDescent="0.2">
      <c r="F93" s="4" t="str">
        <f>IF(LEN(TRIM(A93))=0,"",COUNTIFS(Students!H:H, A93))</f>
        <v/>
      </c>
      <c r="G93" s="4" t="str">
        <f>IF(LEN(TRIM(A93))=0,"",COUNTIFS(Students!H:H, A93, Students!D:D, "&lt;&gt;"))</f>
        <v/>
      </c>
      <c r="H93" s="4" t="str">
        <f t="shared" si="2"/>
        <v/>
      </c>
      <c r="I93" s="5" t="str">
        <f t="shared" si="3"/>
        <v/>
      </c>
    </row>
    <row r="94" spans="6:9" x14ac:dyDescent="0.2">
      <c r="F94" s="4" t="str">
        <f>IF(LEN(TRIM(A94))=0,"",COUNTIFS(Students!H:H, A94))</f>
        <v/>
      </c>
      <c r="G94" s="4" t="str">
        <f>IF(LEN(TRIM(A94))=0,"",COUNTIFS(Students!H:H, A94, Students!D:D, "&lt;&gt;"))</f>
        <v/>
      </c>
      <c r="H94" s="4" t="str">
        <f t="shared" si="2"/>
        <v/>
      </c>
      <c r="I94" s="5" t="str">
        <f t="shared" si="3"/>
        <v/>
      </c>
    </row>
    <row r="95" spans="6:9" x14ac:dyDescent="0.2">
      <c r="F95" s="4" t="str">
        <f>IF(LEN(TRIM(A95))=0,"",COUNTIFS(Students!H:H, A95))</f>
        <v/>
      </c>
      <c r="G95" s="4" t="str">
        <f>IF(LEN(TRIM(A95))=0,"",COUNTIFS(Students!H:H, A95, Students!D:D, "&lt;&gt;"))</f>
        <v/>
      </c>
      <c r="H95" s="4" t="str">
        <f t="shared" si="2"/>
        <v/>
      </c>
      <c r="I95" s="5" t="str">
        <f t="shared" si="3"/>
        <v/>
      </c>
    </row>
    <row r="96" spans="6:9" x14ac:dyDescent="0.2">
      <c r="F96" s="4" t="str">
        <f>IF(LEN(TRIM(A96))=0,"",COUNTIFS(Students!H:H, A96))</f>
        <v/>
      </c>
      <c r="G96" s="4" t="str">
        <f>IF(LEN(TRIM(A96))=0,"",COUNTIFS(Students!H:H, A96, Students!D:D, "&lt;&gt;"))</f>
        <v/>
      </c>
      <c r="H96" s="4" t="str">
        <f t="shared" si="2"/>
        <v/>
      </c>
      <c r="I96" s="5" t="str">
        <f t="shared" si="3"/>
        <v/>
      </c>
    </row>
    <row r="97" spans="6:9" x14ac:dyDescent="0.2">
      <c r="F97" s="4" t="str">
        <f>IF(LEN(TRIM(A97))=0,"",COUNTIFS(Students!H:H, A97))</f>
        <v/>
      </c>
      <c r="G97" s="4" t="str">
        <f>IF(LEN(TRIM(A97))=0,"",COUNTIFS(Students!H:H, A97, Students!D:D, "&lt;&gt;"))</f>
        <v/>
      </c>
      <c r="H97" s="4" t="str">
        <f t="shared" si="2"/>
        <v/>
      </c>
      <c r="I97" s="5" t="str">
        <f t="shared" si="3"/>
        <v/>
      </c>
    </row>
    <row r="98" spans="6:9" x14ac:dyDescent="0.2">
      <c r="F98" s="4" t="str">
        <f>IF(LEN(TRIM(A98))=0,"",COUNTIFS(Students!H:H, A98))</f>
        <v/>
      </c>
      <c r="G98" s="4" t="str">
        <f>IF(LEN(TRIM(A98))=0,"",COUNTIFS(Students!H:H, A98, Students!D:D, "&lt;&gt;"))</f>
        <v/>
      </c>
      <c r="H98" s="4" t="str">
        <f t="shared" si="2"/>
        <v/>
      </c>
      <c r="I98" s="5" t="str">
        <f t="shared" si="3"/>
        <v/>
      </c>
    </row>
    <row r="99" spans="6:9" x14ac:dyDescent="0.2">
      <c r="F99" s="4" t="str">
        <f>IF(LEN(TRIM(A99))=0,"",COUNTIFS(Students!H:H, A99))</f>
        <v/>
      </c>
      <c r="G99" s="4" t="str">
        <f>IF(LEN(TRIM(A99))=0,"",COUNTIFS(Students!H:H, A99, Students!D:D, "&lt;&gt;"))</f>
        <v/>
      </c>
      <c r="H99" s="4" t="str">
        <f t="shared" si="2"/>
        <v/>
      </c>
      <c r="I99" s="5" t="str">
        <f t="shared" si="3"/>
        <v/>
      </c>
    </row>
    <row r="100" spans="6:9" x14ac:dyDescent="0.2">
      <c r="F100" s="4" t="str">
        <f>IF(LEN(TRIM(A100))=0,"",COUNTIFS(Students!H:H, A100))</f>
        <v/>
      </c>
      <c r="G100" s="4" t="str">
        <f>IF(LEN(TRIM(A100))=0,"",COUNTIFS(Students!H:H, A100, Students!D:D, "&lt;&gt;"))</f>
        <v/>
      </c>
      <c r="H100" s="4" t="str">
        <f t="shared" si="2"/>
        <v/>
      </c>
      <c r="I100" s="5" t="str">
        <f t="shared" si="3"/>
        <v/>
      </c>
    </row>
    <row r="101" spans="6:9" x14ac:dyDescent="0.2">
      <c r="F101" s="4" t="str">
        <f>IF(LEN(TRIM(A101))=0,"",COUNTIFS(Students!H:H, A101))</f>
        <v/>
      </c>
      <c r="G101" s="4" t="str">
        <f>IF(LEN(TRIM(A101))=0,"",COUNTIFS(Students!H:H, A101, Students!D:D, "&lt;&gt;"))</f>
        <v/>
      </c>
      <c r="H101" s="4" t="str">
        <f t="shared" si="2"/>
        <v/>
      </c>
      <c r="I101" s="5" t="str">
        <f t="shared" si="3"/>
        <v/>
      </c>
    </row>
    <row r="102" spans="6:9" x14ac:dyDescent="0.2">
      <c r="F102" s="4" t="str">
        <f>IF(LEN(TRIM(A102))=0,"",COUNTIFS(Students!H:H, A102))</f>
        <v/>
      </c>
      <c r="G102" s="4" t="str">
        <f>IF(LEN(TRIM(A102))=0,"",COUNTIFS(Students!H:H, A102, Students!D:D, "&lt;&gt;"))</f>
        <v/>
      </c>
      <c r="H102" s="4" t="str">
        <f t="shared" si="2"/>
        <v/>
      </c>
      <c r="I102" s="5" t="str">
        <f t="shared" si="3"/>
        <v/>
      </c>
    </row>
    <row r="103" spans="6:9" x14ac:dyDescent="0.2">
      <c r="F103" s="4" t="str">
        <f>IF(LEN(TRIM(A103))=0,"",COUNTIFS(Students!H:H, A103))</f>
        <v/>
      </c>
      <c r="G103" s="4" t="str">
        <f>IF(LEN(TRIM(A103))=0,"",COUNTIFS(Students!H:H, A103, Students!D:D, "&lt;&gt;"))</f>
        <v/>
      </c>
      <c r="H103" s="4" t="str">
        <f t="shared" si="2"/>
        <v/>
      </c>
      <c r="I103" s="5" t="str">
        <f t="shared" si="3"/>
        <v/>
      </c>
    </row>
    <row r="104" spans="6:9" x14ac:dyDescent="0.2">
      <c r="F104" s="4" t="str">
        <f>IF(LEN(TRIM(A104))=0,"",COUNTIFS(Students!H:H, A104))</f>
        <v/>
      </c>
      <c r="G104" s="4" t="str">
        <f>IF(LEN(TRIM(A104))=0,"",COUNTIFS(Students!H:H, A104, Students!D:D, "&lt;&gt;"))</f>
        <v/>
      </c>
      <c r="H104" s="4" t="str">
        <f t="shared" si="2"/>
        <v/>
      </c>
      <c r="I104" s="5" t="str">
        <f t="shared" si="3"/>
        <v/>
      </c>
    </row>
    <row r="105" spans="6:9" x14ac:dyDescent="0.2">
      <c r="F105" s="4" t="str">
        <f>IF(LEN(TRIM(A105))=0,"",COUNTIFS(Students!H:H, A105))</f>
        <v/>
      </c>
      <c r="G105" s="4" t="str">
        <f>IF(LEN(TRIM(A105))=0,"",COUNTIFS(Students!H:H, A105, Students!D:D, "&lt;&gt;"))</f>
        <v/>
      </c>
      <c r="H105" s="4" t="str">
        <f t="shared" si="2"/>
        <v/>
      </c>
      <c r="I105" s="5" t="str">
        <f t="shared" si="3"/>
        <v/>
      </c>
    </row>
    <row r="106" spans="6:9" x14ac:dyDescent="0.2">
      <c r="F106" s="4" t="str">
        <f>IF(LEN(TRIM(A106))=0,"",COUNTIFS(Students!H:H, A106))</f>
        <v/>
      </c>
      <c r="G106" s="4" t="str">
        <f>IF(LEN(TRIM(A106))=0,"",COUNTIFS(Students!H:H, A106, Students!D:D, "&lt;&gt;"))</f>
        <v/>
      </c>
      <c r="H106" s="4" t="str">
        <f t="shared" si="2"/>
        <v/>
      </c>
      <c r="I106" s="5" t="str">
        <f t="shared" si="3"/>
        <v/>
      </c>
    </row>
    <row r="107" spans="6:9" x14ac:dyDescent="0.2">
      <c r="F107" s="4" t="str">
        <f>IF(LEN(TRIM(A107))=0,"",COUNTIFS(Students!H:H, A107))</f>
        <v/>
      </c>
      <c r="G107" s="4" t="str">
        <f>IF(LEN(TRIM(A107))=0,"",COUNTIFS(Students!H:H, A107, Students!D:D, "&lt;&gt;"))</f>
        <v/>
      </c>
      <c r="H107" s="4" t="str">
        <f t="shared" si="2"/>
        <v/>
      </c>
      <c r="I107" s="5" t="str">
        <f t="shared" si="3"/>
        <v/>
      </c>
    </row>
    <row r="108" spans="6:9" x14ac:dyDescent="0.2">
      <c r="F108" s="4" t="str">
        <f>IF(LEN(TRIM(A108))=0,"",COUNTIFS(Students!H:H, A108))</f>
        <v/>
      </c>
      <c r="G108" s="4" t="str">
        <f>IF(LEN(TRIM(A108))=0,"",COUNTIFS(Students!H:H, A108, Students!D:D, "&lt;&gt;"))</f>
        <v/>
      </c>
      <c r="H108" s="4" t="str">
        <f t="shared" si="2"/>
        <v/>
      </c>
      <c r="I108" s="5" t="str">
        <f t="shared" si="3"/>
        <v/>
      </c>
    </row>
    <row r="109" spans="6:9" x14ac:dyDescent="0.2">
      <c r="F109" s="4" t="str">
        <f>IF(LEN(TRIM(A109))=0,"",COUNTIFS(Students!H:H, A109))</f>
        <v/>
      </c>
      <c r="G109" s="4" t="str">
        <f>IF(LEN(TRIM(A109))=0,"",COUNTIFS(Students!H:H, A109, Students!D:D, "&lt;&gt;"))</f>
        <v/>
      </c>
      <c r="H109" s="4" t="str">
        <f t="shared" si="2"/>
        <v/>
      </c>
      <c r="I109" s="5" t="str">
        <f t="shared" si="3"/>
        <v/>
      </c>
    </row>
    <row r="110" spans="6:9" x14ac:dyDescent="0.2">
      <c r="F110" s="4" t="str">
        <f>IF(LEN(TRIM(A110))=0,"",COUNTIFS(Students!H:H, A110))</f>
        <v/>
      </c>
      <c r="G110" s="4" t="str">
        <f>IF(LEN(TRIM(A110))=0,"",COUNTIFS(Students!H:H, A110, Students!D:D, "&lt;&gt;"))</f>
        <v/>
      </c>
      <c r="H110" s="4" t="str">
        <f t="shared" si="2"/>
        <v/>
      </c>
      <c r="I110" s="5" t="str">
        <f t="shared" si="3"/>
        <v/>
      </c>
    </row>
    <row r="111" spans="6:9" x14ac:dyDescent="0.2">
      <c r="F111" s="4" t="str">
        <f>IF(LEN(TRIM(A111))=0,"",COUNTIFS(Students!H:H, A111))</f>
        <v/>
      </c>
      <c r="G111" s="4" t="str">
        <f>IF(LEN(TRIM(A111))=0,"",COUNTIFS(Students!H:H, A111, Students!D:D, "&lt;&gt;"))</f>
        <v/>
      </c>
      <c r="H111" s="4" t="str">
        <f t="shared" si="2"/>
        <v/>
      </c>
      <c r="I111" s="5" t="str">
        <f t="shared" si="3"/>
        <v/>
      </c>
    </row>
    <row r="112" spans="6:9" x14ac:dyDescent="0.2">
      <c r="F112" s="4" t="str">
        <f>IF(LEN(TRIM(A112))=0,"",COUNTIFS(Students!H:H, A112))</f>
        <v/>
      </c>
      <c r="G112" s="4" t="str">
        <f>IF(LEN(TRIM(A112))=0,"",COUNTIFS(Students!H:H, A112, Students!D:D, "&lt;&gt;"))</f>
        <v/>
      </c>
      <c r="H112" s="4" t="str">
        <f t="shared" si="2"/>
        <v/>
      </c>
      <c r="I112" s="5" t="str">
        <f t="shared" si="3"/>
        <v/>
      </c>
    </row>
    <row r="113" spans="6:9" x14ac:dyDescent="0.2">
      <c r="F113" s="4" t="str">
        <f>IF(LEN(TRIM(A113))=0,"",COUNTIFS(Students!H:H, A113))</f>
        <v/>
      </c>
      <c r="G113" s="4" t="str">
        <f>IF(LEN(TRIM(A113))=0,"",COUNTIFS(Students!H:H, A113, Students!D:D, "&lt;&gt;"))</f>
        <v/>
      </c>
      <c r="H113" s="4" t="str">
        <f t="shared" si="2"/>
        <v/>
      </c>
      <c r="I113" s="5" t="str">
        <f t="shared" si="3"/>
        <v/>
      </c>
    </row>
    <row r="114" spans="6:9" x14ac:dyDescent="0.2">
      <c r="F114" s="4" t="str">
        <f>IF(LEN(TRIM(A114))=0,"",COUNTIFS(Students!H:H, A114))</f>
        <v/>
      </c>
      <c r="G114" s="4" t="str">
        <f>IF(LEN(TRIM(A114))=0,"",COUNTIFS(Students!H:H, A114, Students!D:D, "&lt;&gt;"))</f>
        <v/>
      </c>
      <c r="H114" s="4" t="str">
        <f t="shared" si="2"/>
        <v/>
      </c>
      <c r="I114" s="5" t="str">
        <f t="shared" si="3"/>
        <v/>
      </c>
    </row>
    <row r="115" spans="6:9" x14ac:dyDescent="0.2">
      <c r="F115" s="4" t="str">
        <f>IF(LEN(TRIM(A115))=0,"",COUNTIFS(Students!H:H, A115))</f>
        <v/>
      </c>
      <c r="G115" s="4" t="str">
        <f>IF(LEN(TRIM(A115))=0,"",COUNTIFS(Students!H:H, A115, Students!D:D, "&lt;&gt;"))</f>
        <v/>
      </c>
      <c r="H115" s="4" t="str">
        <f t="shared" si="2"/>
        <v/>
      </c>
      <c r="I115" s="5" t="str">
        <f t="shared" si="3"/>
        <v/>
      </c>
    </row>
    <row r="116" spans="6:9" x14ac:dyDescent="0.2">
      <c r="F116" s="4" t="str">
        <f>IF(LEN(TRIM(A116))=0,"",COUNTIFS(Students!H:H, A116))</f>
        <v/>
      </c>
      <c r="G116" s="4" t="str">
        <f>IF(LEN(TRIM(A116))=0,"",COUNTIFS(Students!H:H, A116, Students!D:D, "&lt;&gt;"))</f>
        <v/>
      </c>
      <c r="H116" s="4" t="str">
        <f t="shared" si="2"/>
        <v/>
      </c>
      <c r="I116" s="5" t="str">
        <f t="shared" si="3"/>
        <v/>
      </c>
    </row>
    <row r="117" spans="6:9" x14ac:dyDescent="0.2">
      <c r="F117" s="4" t="str">
        <f>IF(LEN(TRIM(A117))=0,"",COUNTIFS(Students!H:H, A117))</f>
        <v/>
      </c>
      <c r="G117" s="4" t="str">
        <f>IF(LEN(TRIM(A117))=0,"",COUNTIFS(Students!H:H, A117, Students!D:D, "&lt;&gt;"))</f>
        <v/>
      </c>
      <c r="H117" s="4" t="str">
        <f t="shared" si="2"/>
        <v/>
      </c>
      <c r="I117" s="5" t="str">
        <f t="shared" si="3"/>
        <v/>
      </c>
    </row>
    <row r="118" spans="6:9" x14ac:dyDescent="0.2">
      <c r="F118" s="4" t="str">
        <f>IF(LEN(TRIM(A118))=0,"",COUNTIFS(Students!H:H, A118))</f>
        <v/>
      </c>
      <c r="G118" s="4" t="str">
        <f>IF(LEN(TRIM(A118))=0,"",COUNTIFS(Students!H:H, A118, Students!D:D, "&lt;&gt;"))</f>
        <v/>
      </c>
      <c r="H118" s="4" t="str">
        <f t="shared" si="2"/>
        <v/>
      </c>
      <c r="I118" s="5" t="str">
        <f t="shared" si="3"/>
        <v/>
      </c>
    </row>
    <row r="119" spans="6:9" x14ac:dyDescent="0.2">
      <c r="F119" s="4" t="str">
        <f>IF(LEN(TRIM(A119))=0,"",COUNTIFS(Students!H:H, A119))</f>
        <v/>
      </c>
      <c r="G119" s="4" t="str">
        <f>IF(LEN(TRIM(A119))=0,"",COUNTIFS(Students!H:H, A119, Students!D:D, "&lt;&gt;"))</f>
        <v/>
      </c>
      <c r="H119" s="4" t="str">
        <f t="shared" si="2"/>
        <v/>
      </c>
      <c r="I119" s="5" t="str">
        <f t="shared" si="3"/>
        <v/>
      </c>
    </row>
    <row r="120" spans="6:9" x14ac:dyDescent="0.2">
      <c r="F120" s="4" t="str">
        <f>IF(LEN(TRIM(A120))=0,"",COUNTIFS(Students!H:H, A120))</f>
        <v/>
      </c>
      <c r="G120" s="4" t="str">
        <f>IF(LEN(TRIM(A120))=0,"",COUNTIFS(Students!H:H, A120, Students!D:D, "&lt;&gt;"))</f>
        <v/>
      </c>
      <c r="H120" s="4" t="str">
        <f t="shared" si="2"/>
        <v/>
      </c>
      <c r="I120" s="5" t="str">
        <f t="shared" si="3"/>
        <v/>
      </c>
    </row>
    <row r="121" spans="6:9" x14ac:dyDescent="0.2">
      <c r="F121" s="4" t="str">
        <f>IF(LEN(TRIM(A121))=0,"",COUNTIFS(Students!H:H, A121))</f>
        <v/>
      </c>
      <c r="G121" s="4" t="str">
        <f>IF(LEN(TRIM(A121))=0,"",COUNTIFS(Students!H:H, A121, Students!D:D, "&lt;&gt;"))</f>
        <v/>
      </c>
      <c r="H121" s="4" t="str">
        <f t="shared" si="2"/>
        <v/>
      </c>
      <c r="I121" s="5" t="str">
        <f t="shared" si="3"/>
        <v/>
      </c>
    </row>
    <row r="122" spans="6:9" x14ac:dyDescent="0.2">
      <c r="F122" s="4" t="str">
        <f>IF(LEN(TRIM(A122))=0,"",COUNTIFS(Students!H:H, A122))</f>
        <v/>
      </c>
      <c r="G122" s="4" t="str">
        <f>IF(LEN(TRIM(A122))=0,"",COUNTIFS(Students!H:H, A122, Students!D:D, "&lt;&gt;"))</f>
        <v/>
      </c>
      <c r="H122" s="4" t="str">
        <f t="shared" si="2"/>
        <v/>
      </c>
      <c r="I122" s="5" t="str">
        <f t="shared" si="3"/>
        <v/>
      </c>
    </row>
    <row r="123" spans="6:9" x14ac:dyDescent="0.2">
      <c r="F123" s="4" t="str">
        <f>IF(LEN(TRIM(A123))=0,"",COUNTIFS(Students!H:H, A123))</f>
        <v/>
      </c>
      <c r="G123" s="4" t="str">
        <f>IF(LEN(TRIM(A123))=0,"",COUNTIFS(Students!H:H, A123, Students!D:D, "&lt;&gt;"))</f>
        <v/>
      </c>
      <c r="H123" s="4" t="str">
        <f t="shared" si="2"/>
        <v/>
      </c>
      <c r="I123" s="5" t="str">
        <f t="shared" si="3"/>
        <v/>
      </c>
    </row>
    <row r="124" spans="6:9" x14ac:dyDescent="0.2">
      <c r="F124" s="4" t="str">
        <f>IF(LEN(TRIM(A124))=0,"",COUNTIFS(Students!H:H, A124))</f>
        <v/>
      </c>
      <c r="G124" s="4" t="str">
        <f>IF(LEN(TRIM(A124))=0,"",COUNTIFS(Students!H:H, A124, Students!D:D, "&lt;&gt;"))</f>
        <v/>
      </c>
      <c r="H124" s="4" t="str">
        <f t="shared" si="2"/>
        <v/>
      </c>
      <c r="I124" s="5" t="str">
        <f t="shared" si="3"/>
        <v/>
      </c>
    </row>
    <row r="125" spans="6:9" x14ac:dyDescent="0.2">
      <c r="F125" s="4" t="str">
        <f>IF(LEN(TRIM(A125))=0,"",COUNTIFS(Students!H:H, A125))</f>
        <v/>
      </c>
      <c r="G125" s="4" t="str">
        <f>IF(LEN(TRIM(A125))=0,"",COUNTIFS(Students!H:H, A125, Students!D:D, "&lt;&gt;"))</f>
        <v/>
      </c>
      <c r="H125" s="4" t="str">
        <f t="shared" si="2"/>
        <v/>
      </c>
      <c r="I125" s="5" t="str">
        <f t="shared" si="3"/>
        <v/>
      </c>
    </row>
    <row r="126" spans="6:9" x14ac:dyDescent="0.2">
      <c r="F126" s="4" t="str">
        <f>IF(LEN(TRIM(A126))=0,"",COUNTIFS(Students!H:H, A126))</f>
        <v/>
      </c>
      <c r="G126" s="4" t="str">
        <f>IF(LEN(TRIM(A126))=0,"",COUNTIFS(Students!H:H, A126, Students!D:D, "&lt;&gt;"))</f>
        <v/>
      </c>
      <c r="H126" s="4" t="str">
        <f t="shared" si="2"/>
        <v/>
      </c>
      <c r="I126" s="5" t="str">
        <f t="shared" si="3"/>
        <v/>
      </c>
    </row>
    <row r="127" spans="6:9" x14ac:dyDescent="0.2">
      <c r="F127" s="4" t="str">
        <f>IF(LEN(TRIM(A127))=0,"",COUNTIFS(Students!H:H, A127))</f>
        <v/>
      </c>
      <c r="G127" s="4" t="str">
        <f>IF(LEN(TRIM(A127))=0,"",COUNTIFS(Students!H:H, A127, Students!D:D, "&lt;&gt;"))</f>
        <v/>
      </c>
      <c r="H127" s="4" t="str">
        <f t="shared" si="2"/>
        <v/>
      </c>
      <c r="I127" s="5" t="str">
        <f t="shared" si="3"/>
        <v/>
      </c>
    </row>
    <row r="128" spans="6:9" x14ac:dyDescent="0.2">
      <c r="F128" s="4" t="str">
        <f>IF(LEN(TRIM(A128))=0,"",COUNTIFS(Students!H:H, A128))</f>
        <v/>
      </c>
      <c r="G128" s="4" t="str">
        <f>IF(LEN(TRIM(A128))=0,"",COUNTIFS(Students!H:H, A128, Students!D:D, "&lt;&gt;"))</f>
        <v/>
      </c>
      <c r="H128" s="4" t="str">
        <f t="shared" si="2"/>
        <v/>
      </c>
      <c r="I128" s="5" t="str">
        <f t="shared" si="3"/>
        <v/>
      </c>
    </row>
    <row r="129" spans="6:9" x14ac:dyDescent="0.2">
      <c r="F129" s="4" t="str">
        <f>IF(LEN(TRIM(A129))=0,"",COUNTIFS(Students!H:H, A129))</f>
        <v/>
      </c>
      <c r="G129" s="4" t="str">
        <f>IF(LEN(TRIM(A129))=0,"",COUNTIFS(Students!H:H, A129, Students!D:D, "&lt;&gt;"))</f>
        <v/>
      </c>
      <c r="H129" s="4" t="str">
        <f t="shared" si="2"/>
        <v/>
      </c>
      <c r="I129" s="5" t="str">
        <f t="shared" si="3"/>
        <v/>
      </c>
    </row>
    <row r="130" spans="6:9" x14ac:dyDescent="0.2">
      <c r="F130" s="4" t="str">
        <f>IF(LEN(TRIM(A130))=0,"",COUNTIFS(Students!H:H, A130))</f>
        <v/>
      </c>
      <c r="G130" s="4" t="str">
        <f>IF(LEN(TRIM(A130))=0,"",COUNTIFS(Students!H:H, A130, Students!D:D, "&lt;&gt;"))</f>
        <v/>
      </c>
      <c r="H130" s="4" t="str">
        <f t="shared" si="2"/>
        <v/>
      </c>
      <c r="I130" s="5" t="str">
        <f t="shared" si="3"/>
        <v/>
      </c>
    </row>
    <row r="131" spans="6:9" x14ac:dyDescent="0.2">
      <c r="F131" s="4" t="str">
        <f>IF(LEN(TRIM(A131))=0,"",COUNTIFS(Students!H:H, A131))</f>
        <v/>
      </c>
      <c r="G131" s="4" t="str">
        <f>IF(LEN(TRIM(A131))=0,"",COUNTIFS(Students!H:H, A131, Students!D:D, "&lt;&gt;"))</f>
        <v/>
      </c>
      <c r="H131" s="4" t="str">
        <f t="shared" ref="H131:H194" si="4">IFERROR(F131-G131,"")</f>
        <v/>
      </c>
      <c r="I131" s="5" t="str">
        <f t="shared" ref="I131:I194" si="5">IFERROR(IF(F131=0, "N/A", G131/F131),"")</f>
        <v/>
      </c>
    </row>
    <row r="132" spans="6:9" x14ac:dyDescent="0.2">
      <c r="F132" s="4" t="str">
        <f>IF(LEN(TRIM(A132))=0,"",COUNTIFS(Students!H:H, A132))</f>
        <v/>
      </c>
      <c r="G132" s="4" t="str">
        <f>IF(LEN(TRIM(A132))=0,"",COUNTIFS(Students!H:H, A132, Students!D:D, "&lt;&gt;"))</f>
        <v/>
      </c>
      <c r="H132" s="4" t="str">
        <f t="shared" si="4"/>
        <v/>
      </c>
      <c r="I132" s="5" t="str">
        <f t="shared" si="5"/>
        <v/>
      </c>
    </row>
    <row r="133" spans="6:9" x14ac:dyDescent="0.2">
      <c r="F133" s="4" t="str">
        <f>IF(LEN(TRIM(A133))=0,"",COUNTIFS(Students!H:H, A133))</f>
        <v/>
      </c>
      <c r="G133" s="4" t="str">
        <f>IF(LEN(TRIM(A133))=0,"",COUNTIFS(Students!H:H, A133, Students!D:D, "&lt;&gt;"))</f>
        <v/>
      </c>
      <c r="H133" s="4" t="str">
        <f t="shared" si="4"/>
        <v/>
      </c>
      <c r="I133" s="5" t="str">
        <f t="shared" si="5"/>
        <v/>
      </c>
    </row>
    <row r="134" spans="6:9" x14ac:dyDescent="0.2">
      <c r="F134" s="4" t="str">
        <f>IF(LEN(TRIM(A134))=0,"",COUNTIFS(Students!H:H, A134))</f>
        <v/>
      </c>
      <c r="G134" s="4" t="str">
        <f>IF(LEN(TRIM(A134))=0,"",COUNTIFS(Students!H:H, A134, Students!D:D, "&lt;&gt;"))</f>
        <v/>
      </c>
      <c r="H134" s="4" t="str">
        <f t="shared" si="4"/>
        <v/>
      </c>
      <c r="I134" s="5" t="str">
        <f t="shared" si="5"/>
        <v/>
      </c>
    </row>
    <row r="135" spans="6:9" x14ac:dyDescent="0.2">
      <c r="F135" s="4" t="str">
        <f>IF(LEN(TRIM(A135))=0,"",COUNTIFS(Students!H:H, A135))</f>
        <v/>
      </c>
      <c r="G135" s="4" t="str">
        <f>IF(LEN(TRIM(A135))=0,"",COUNTIFS(Students!H:H, A135, Students!D:D, "&lt;&gt;"))</f>
        <v/>
      </c>
      <c r="H135" s="4" t="str">
        <f t="shared" si="4"/>
        <v/>
      </c>
      <c r="I135" s="5" t="str">
        <f t="shared" si="5"/>
        <v/>
      </c>
    </row>
    <row r="136" spans="6:9" x14ac:dyDescent="0.2">
      <c r="F136" s="4" t="str">
        <f>IF(LEN(TRIM(A136))=0,"",COUNTIFS(Students!H:H, A136))</f>
        <v/>
      </c>
      <c r="G136" s="4" t="str">
        <f>IF(LEN(TRIM(A136))=0,"",COUNTIFS(Students!H:H, A136, Students!D:D, "&lt;&gt;"))</f>
        <v/>
      </c>
      <c r="H136" s="4" t="str">
        <f t="shared" si="4"/>
        <v/>
      </c>
      <c r="I136" s="5" t="str">
        <f t="shared" si="5"/>
        <v/>
      </c>
    </row>
    <row r="137" spans="6:9" x14ac:dyDescent="0.2">
      <c r="F137" s="4" t="str">
        <f>IF(LEN(TRIM(A137))=0,"",COUNTIFS(Students!H:H, A137))</f>
        <v/>
      </c>
      <c r="G137" s="4" t="str">
        <f>IF(LEN(TRIM(A137))=0,"",COUNTIFS(Students!H:H, A137, Students!D:D, "&lt;&gt;"))</f>
        <v/>
      </c>
      <c r="H137" s="4" t="str">
        <f t="shared" si="4"/>
        <v/>
      </c>
      <c r="I137" s="5" t="str">
        <f t="shared" si="5"/>
        <v/>
      </c>
    </row>
    <row r="138" spans="6:9" x14ac:dyDescent="0.2">
      <c r="F138" s="4" t="str">
        <f>IF(LEN(TRIM(A138))=0,"",COUNTIFS(Students!H:H, A138))</f>
        <v/>
      </c>
      <c r="G138" s="4" t="str">
        <f>IF(LEN(TRIM(A138))=0,"",COUNTIFS(Students!H:H, A138, Students!D:D, "&lt;&gt;"))</f>
        <v/>
      </c>
      <c r="H138" s="4" t="str">
        <f t="shared" si="4"/>
        <v/>
      </c>
      <c r="I138" s="5" t="str">
        <f t="shared" si="5"/>
        <v/>
      </c>
    </row>
    <row r="139" spans="6:9" x14ac:dyDescent="0.2">
      <c r="F139" s="4" t="str">
        <f>IF(LEN(TRIM(A139))=0,"",COUNTIFS(Students!H:H, A139))</f>
        <v/>
      </c>
      <c r="G139" s="4" t="str">
        <f>IF(LEN(TRIM(A139))=0,"",COUNTIFS(Students!H:H, A139, Students!D:D, "&lt;&gt;"))</f>
        <v/>
      </c>
      <c r="H139" s="4" t="str">
        <f t="shared" si="4"/>
        <v/>
      </c>
      <c r="I139" s="5" t="str">
        <f t="shared" si="5"/>
        <v/>
      </c>
    </row>
    <row r="140" spans="6:9" x14ac:dyDescent="0.2">
      <c r="F140" s="4" t="str">
        <f>IF(LEN(TRIM(A140))=0,"",COUNTIFS(Students!H:H, A140))</f>
        <v/>
      </c>
      <c r="G140" s="4" t="str">
        <f>IF(LEN(TRIM(A140))=0,"",COUNTIFS(Students!H:H, A140, Students!D:D, "&lt;&gt;"))</f>
        <v/>
      </c>
      <c r="H140" s="4" t="str">
        <f t="shared" si="4"/>
        <v/>
      </c>
      <c r="I140" s="5" t="str">
        <f t="shared" si="5"/>
        <v/>
      </c>
    </row>
    <row r="141" spans="6:9" x14ac:dyDescent="0.2">
      <c r="F141" s="4" t="str">
        <f>IF(LEN(TRIM(A141))=0,"",COUNTIFS(Students!H:H, A141))</f>
        <v/>
      </c>
      <c r="G141" s="4" t="str">
        <f>IF(LEN(TRIM(A141))=0,"",COUNTIFS(Students!H:H, A141, Students!D:D, "&lt;&gt;"))</f>
        <v/>
      </c>
      <c r="H141" s="4" t="str">
        <f t="shared" si="4"/>
        <v/>
      </c>
      <c r="I141" s="5" t="str">
        <f t="shared" si="5"/>
        <v/>
      </c>
    </row>
    <row r="142" spans="6:9" x14ac:dyDescent="0.2">
      <c r="F142" s="4" t="str">
        <f>IF(LEN(TRIM(A142))=0,"",COUNTIFS(Students!H:H, A142))</f>
        <v/>
      </c>
      <c r="G142" s="4" t="str">
        <f>IF(LEN(TRIM(A142))=0,"",COUNTIFS(Students!H:H, A142, Students!D:D, "&lt;&gt;"))</f>
        <v/>
      </c>
      <c r="H142" s="4" t="str">
        <f t="shared" si="4"/>
        <v/>
      </c>
      <c r="I142" s="5" t="str">
        <f t="shared" si="5"/>
        <v/>
      </c>
    </row>
    <row r="143" spans="6:9" x14ac:dyDescent="0.2">
      <c r="F143" s="4" t="str">
        <f>IF(LEN(TRIM(A143))=0,"",COUNTIFS(Students!H:H, A143))</f>
        <v/>
      </c>
      <c r="G143" s="4" t="str">
        <f>IF(LEN(TRIM(A143))=0,"",COUNTIFS(Students!H:H, A143, Students!D:D, "&lt;&gt;"))</f>
        <v/>
      </c>
      <c r="H143" s="4" t="str">
        <f t="shared" si="4"/>
        <v/>
      </c>
      <c r="I143" s="5" t="str">
        <f t="shared" si="5"/>
        <v/>
      </c>
    </row>
    <row r="144" spans="6:9" x14ac:dyDescent="0.2">
      <c r="F144" s="4" t="str">
        <f>IF(LEN(TRIM(A144))=0,"",COUNTIFS(Students!H:H, A144))</f>
        <v/>
      </c>
      <c r="G144" s="4" t="str">
        <f>IF(LEN(TRIM(A144))=0,"",COUNTIFS(Students!H:H, A144, Students!D:D, "&lt;&gt;"))</f>
        <v/>
      </c>
      <c r="H144" s="4" t="str">
        <f t="shared" si="4"/>
        <v/>
      </c>
      <c r="I144" s="5" t="str">
        <f t="shared" si="5"/>
        <v/>
      </c>
    </row>
    <row r="145" spans="6:9" x14ac:dyDescent="0.2">
      <c r="F145" s="4" t="str">
        <f>IF(LEN(TRIM(A145))=0,"",COUNTIFS(Students!H:H, A145))</f>
        <v/>
      </c>
      <c r="G145" s="4" t="str">
        <f>IF(LEN(TRIM(A145))=0,"",COUNTIFS(Students!H:H, A145, Students!D:D, "&lt;&gt;"))</f>
        <v/>
      </c>
      <c r="H145" s="4" t="str">
        <f t="shared" si="4"/>
        <v/>
      </c>
      <c r="I145" s="5" t="str">
        <f t="shared" si="5"/>
        <v/>
      </c>
    </row>
    <row r="146" spans="6:9" x14ac:dyDescent="0.2">
      <c r="F146" s="4" t="str">
        <f>IF(LEN(TRIM(A146))=0,"",COUNTIFS(Students!H:H, A146))</f>
        <v/>
      </c>
      <c r="G146" s="4" t="str">
        <f>IF(LEN(TRIM(A146))=0,"",COUNTIFS(Students!H:H, A146, Students!D:D, "&lt;&gt;"))</f>
        <v/>
      </c>
      <c r="H146" s="4" t="str">
        <f t="shared" si="4"/>
        <v/>
      </c>
      <c r="I146" s="5" t="str">
        <f t="shared" si="5"/>
        <v/>
      </c>
    </row>
    <row r="147" spans="6:9" x14ac:dyDescent="0.2">
      <c r="F147" s="4" t="str">
        <f>IF(LEN(TRIM(A147))=0,"",COUNTIFS(Students!H:H, A147))</f>
        <v/>
      </c>
      <c r="G147" s="4" t="str">
        <f>IF(LEN(TRIM(A147))=0,"",COUNTIFS(Students!H:H, A147, Students!D:D, "&lt;&gt;"))</f>
        <v/>
      </c>
      <c r="H147" s="4" t="str">
        <f t="shared" si="4"/>
        <v/>
      </c>
      <c r="I147" s="5" t="str">
        <f t="shared" si="5"/>
        <v/>
      </c>
    </row>
    <row r="148" spans="6:9" x14ac:dyDescent="0.2">
      <c r="F148" s="4" t="str">
        <f>IF(LEN(TRIM(A148))=0,"",COUNTIFS(Students!H:H, A148))</f>
        <v/>
      </c>
      <c r="G148" s="4" t="str">
        <f>IF(LEN(TRIM(A148))=0,"",COUNTIFS(Students!H:H, A148, Students!D:D, "&lt;&gt;"))</f>
        <v/>
      </c>
      <c r="H148" s="4" t="str">
        <f t="shared" si="4"/>
        <v/>
      </c>
      <c r="I148" s="5" t="str">
        <f t="shared" si="5"/>
        <v/>
      </c>
    </row>
    <row r="149" spans="6:9" x14ac:dyDescent="0.2">
      <c r="F149" s="4" t="str">
        <f>IF(LEN(TRIM(A149))=0,"",COUNTIFS(Students!H:H, A149))</f>
        <v/>
      </c>
      <c r="G149" s="4" t="str">
        <f>IF(LEN(TRIM(A149))=0,"",COUNTIFS(Students!H:H, A149, Students!D:D, "&lt;&gt;"))</f>
        <v/>
      </c>
      <c r="H149" s="4" t="str">
        <f t="shared" si="4"/>
        <v/>
      </c>
      <c r="I149" s="5" t="str">
        <f t="shared" si="5"/>
        <v/>
      </c>
    </row>
    <row r="150" spans="6:9" x14ac:dyDescent="0.2">
      <c r="F150" s="4" t="str">
        <f>IF(LEN(TRIM(A150))=0,"",COUNTIFS(Students!H:H, A150))</f>
        <v/>
      </c>
      <c r="G150" s="4" t="str">
        <f>IF(LEN(TRIM(A150))=0,"",COUNTIFS(Students!H:H, A150, Students!D:D, "&lt;&gt;"))</f>
        <v/>
      </c>
      <c r="H150" s="4" t="str">
        <f t="shared" si="4"/>
        <v/>
      </c>
      <c r="I150" s="5" t="str">
        <f t="shared" si="5"/>
        <v/>
      </c>
    </row>
    <row r="151" spans="6:9" x14ac:dyDescent="0.2">
      <c r="F151" s="4" t="str">
        <f>IF(LEN(TRIM(A151))=0,"",COUNTIFS(Students!H:H, A151))</f>
        <v/>
      </c>
      <c r="G151" s="4" t="str">
        <f>IF(LEN(TRIM(A151))=0,"",COUNTIFS(Students!H:H, A151, Students!D:D, "&lt;&gt;"))</f>
        <v/>
      </c>
      <c r="H151" s="4" t="str">
        <f t="shared" si="4"/>
        <v/>
      </c>
      <c r="I151" s="5" t="str">
        <f t="shared" si="5"/>
        <v/>
      </c>
    </row>
    <row r="152" spans="6:9" x14ac:dyDescent="0.2">
      <c r="F152" s="4" t="str">
        <f>IF(LEN(TRIM(A152))=0,"",COUNTIFS(Students!H:H, A152))</f>
        <v/>
      </c>
      <c r="G152" s="4" t="str">
        <f>IF(LEN(TRIM(A152))=0,"",COUNTIFS(Students!H:H, A152, Students!D:D, "&lt;&gt;"))</f>
        <v/>
      </c>
      <c r="H152" s="4" t="str">
        <f t="shared" si="4"/>
        <v/>
      </c>
      <c r="I152" s="5" t="str">
        <f t="shared" si="5"/>
        <v/>
      </c>
    </row>
    <row r="153" spans="6:9" x14ac:dyDescent="0.2">
      <c r="F153" s="4" t="str">
        <f>IF(LEN(TRIM(A153))=0,"",COUNTIFS(Students!H:H, A153))</f>
        <v/>
      </c>
      <c r="G153" s="4" t="str">
        <f>IF(LEN(TRIM(A153))=0,"",COUNTIFS(Students!H:H, A153, Students!D:D, "&lt;&gt;"))</f>
        <v/>
      </c>
      <c r="H153" s="4" t="str">
        <f t="shared" si="4"/>
        <v/>
      </c>
      <c r="I153" s="5" t="str">
        <f t="shared" si="5"/>
        <v/>
      </c>
    </row>
    <row r="154" spans="6:9" x14ac:dyDescent="0.2">
      <c r="F154" s="4" t="str">
        <f>IF(LEN(TRIM(A154))=0,"",COUNTIFS(Students!H:H, A154))</f>
        <v/>
      </c>
      <c r="G154" s="4" t="str">
        <f>IF(LEN(TRIM(A154))=0,"",COUNTIFS(Students!H:H, A154, Students!D:D, "&lt;&gt;"))</f>
        <v/>
      </c>
      <c r="H154" s="4" t="str">
        <f t="shared" si="4"/>
        <v/>
      </c>
      <c r="I154" s="5" t="str">
        <f t="shared" si="5"/>
        <v/>
      </c>
    </row>
    <row r="155" spans="6:9" x14ac:dyDescent="0.2">
      <c r="F155" s="4" t="str">
        <f>IF(LEN(TRIM(A155))=0,"",COUNTIFS(Students!H:H, A155))</f>
        <v/>
      </c>
      <c r="G155" s="4" t="str">
        <f>IF(LEN(TRIM(A155))=0,"",COUNTIFS(Students!H:H, A155, Students!D:D, "&lt;&gt;"))</f>
        <v/>
      </c>
      <c r="H155" s="4" t="str">
        <f t="shared" si="4"/>
        <v/>
      </c>
      <c r="I155" s="5" t="str">
        <f t="shared" si="5"/>
        <v/>
      </c>
    </row>
    <row r="156" spans="6:9" x14ac:dyDescent="0.2">
      <c r="F156" s="4" t="str">
        <f>IF(LEN(TRIM(A156))=0,"",COUNTIFS(Students!H:H, A156))</f>
        <v/>
      </c>
      <c r="G156" s="4" t="str">
        <f>IF(LEN(TRIM(A156))=0,"",COUNTIFS(Students!H:H, A156, Students!D:D, "&lt;&gt;"))</f>
        <v/>
      </c>
      <c r="H156" s="4" t="str">
        <f t="shared" si="4"/>
        <v/>
      </c>
      <c r="I156" s="5" t="str">
        <f t="shared" si="5"/>
        <v/>
      </c>
    </row>
    <row r="157" spans="6:9" x14ac:dyDescent="0.2">
      <c r="F157" s="4" t="str">
        <f>IF(LEN(TRIM(A157))=0,"",COUNTIFS(Students!H:H, A157))</f>
        <v/>
      </c>
      <c r="G157" s="4" t="str">
        <f>IF(LEN(TRIM(A157))=0,"",COUNTIFS(Students!H:H, A157, Students!D:D, "&lt;&gt;"))</f>
        <v/>
      </c>
      <c r="H157" s="4" t="str">
        <f t="shared" si="4"/>
        <v/>
      </c>
      <c r="I157" s="5" t="str">
        <f t="shared" si="5"/>
        <v/>
      </c>
    </row>
    <row r="158" spans="6:9" x14ac:dyDescent="0.2">
      <c r="F158" s="4" t="str">
        <f>IF(LEN(TRIM(A158))=0,"",COUNTIFS(Students!H:H, A158))</f>
        <v/>
      </c>
      <c r="G158" s="4" t="str">
        <f>IF(LEN(TRIM(A158))=0,"",COUNTIFS(Students!H:H, A158, Students!D:D, "&lt;&gt;"))</f>
        <v/>
      </c>
      <c r="H158" s="4" t="str">
        <f t="shared" si="4"/>
        <v/>
      </c>
      <c r="I158" s="5" t="str">
        <f t="shared" si="5"/>
        <v/>
      </c>
    </row>
    <row r="159" spans="6:9" x14ac:dyDescent="0.2">
      <c r="F159" s="4" t="str">
        <f>IF(LEN(TRIM(A159))=0,"",COUNTIFS(Students!H:H, A159))</f>
        <v/>
      </c>
      <c r="G159" s="4" t="str">
        <f>IF(LEN(TRIM(A159))=0,"",COUNTIFS(Students!H:H, A159, Students!D:D, "&lt;&gt;"))</f>
        <v/>
      </c>
      <c r="H159" s="4" t="str">
        <f t="shared" si="4"/>
        <v/>
      </c>
      <c r="I159" s="5" t="str">
        <f t="shared" si="5"/>
        <v/>
      </c>
    </row>
    <row r="160" spans="6:9" x14ac:dyDescent="0.2">
      <c r="F160" s="4" t="str">
        <f>IF(LEN(TRIM(A160))=0,"",COUNTIFS(Students!H:H, A160))</f>
        <v/>
      </c>
      <c r="G160" s="4" t="str">
        <f>IF(LEN(TRIM(A160))=0,"",COUNTIFS(Students!H:H, A160, Students!D:D, "&lt;&gt;"))</f>
        <v/>
      </c>
      <c r="H160" s="4" t="str">
        <f t="shared" si="4"/>
        <v/>
      </c>
      <c r="I160" s="5" t="str">
        <f t="shared" si="5"/>
        <v/>
      </c>
    </row>
    <row r="161" spans="6:9" x14ac:dyDescent="0.2">
      <c r="F161" s="4" t="str">
        <f>IF(LEN(TRIM(A161))=0,"",COUNTIFS(Students!H:H, A161))</f>
        <v/>
      </c>
      <c r="G161" s="4" t="str">
        <f>IF(LEN(TRIM(A161))=0,"",COUNTIFS(Students!H:H, A161, Students!D:D, "&lt;&gt;"))</f>
        <v/>
      </c>
      <c r="H161" s="4" t="str">
        <f t="shared" si="4"/>
        <v/>
      </c>
      <c r="I161" s="5" t="str">
        <f t="shared" si="5"/>
        <v/>
      </c>
    </row>
    <row r="162" spans="6:9" x14ac:dyDescent="0.2">
      <c r="F162" s="4" t="str">
        <f>IF(LEN(TRIM(A162))=0,"",COUNTIFS(Students!H:H, A162))</f>
        <v/>
      </c>
      <c r="G162" s="4" t="str">
        <f>IF(LEN(TRIM(A162))=0,"",COUNTIFS(Students!H:H, A162, Students!D:D, "&lt;&gt;"))</f>
        <v/>
      </c>
      <c r="H162" s="4" t="str">
        <f t="shared" si="4"/>
        <v/>
      </c>
      <c r="I162" s="5" t="str">
        <f t="shared" si="5"/>
        <v/>
      </c>
    </row>
    <row r="163" spans="6:9" x14ac:dyDescent="0.2">
      <c r="F163" s="4" t="str">
        <f>IF(LEN(TRIM(A163))=0,"",COUNTIFS(Students!H:H, A163))</f>
        <v/>
      </c>
      <c r="G163" s="4" t="str">
        <f>IF(LEN(TRIM(A163))=0,"",COUNTIFS(Students!H:H, A163, Students!D:D, "&lt;&gt;"))</f>
        <v/>
      </c>
      <c r="H163" s="4" t="str">
        <f t="shared" si="4"/>
        <v/>
      </c>
      <c r="I163" s="5" t="str">
        <f t="shared" si="5"/>
        <v/>
      </c>
    </row>
    <row r="164" spans="6:9" x14ac:dyDescent="0.2">
      <c r="F164" s="4" t="str">
        <f>IF(LEN(TRIM(A164))=0,"",COUNTIFS(Students!H:H, A164))</f>
        <v/>
      </c>
      <c r="G164" s="4" t="str">
        <f>IF(LEN(TRIM(A164))=0,"",COUNTIFS(Students!H:H, A164, Students!D:D, "&lt;&gt;"))</f>
        <v/>
      </c>
      <c r="H164" s="4" t="str">
        <f t="shared" si="4"/>
        <v/>
      </c>
      <c r="I164" s="5" t="str">
        <f t="shared" si="5"/>
        <v/>
      </c>
    </row>
    <row r="165" spans="6:9" x14ac:dyDescent="0.2">
      <c r="F165" s="4" t="str">
        <f>IF(LEN(TRIM(A165))=0,"",COUNTIFS(Students!H:H, A165))</f>
        <v/>
      </c>
      <c r="G165" s="4" t="str">
        <f>IF(LEN(TRIM(A165))=0,"",COUNTIFS(Students!H:H, A165, Students!D:D, "&lt;&gt;"))</f>
        <v/>
      </c>
      <c r="H165" s="4" t="str">
        <f t="shared" si="4"/>
        <v/>
      </c>
      <c r="I165" s="5" t="str">
        <f t="shared" si="5"/>
        <v/>
      </c>
    </row>
    <row r="166" spans="6:9" x14ac:dyDescent="0.2">
      <c r="F166" s="4" t="str">
        <f>IF(LEN(TRIM(A166))=0,"",COUNTIFS(Students!H:H, A166))</f>
        <v/>
      </c>
      <c r="G166" s="4" t="str">
        <f>IF(LEN(TRIM(A166))=0,"",COUNTIFS(Students!H:H, A166, Students!D:D, "&lt;&gt;"))</f>
        <v/>
      </c>
      <c r="H166" s="4" t="str">
        <f t="shared" si="4"/>
        <v/>
      </c>
      <c r="I166" s="5" t="str">
        <f t="shared" si="5"/>
        <v/>
      </c>
    </row>
    <row r="167" spans="6:9" x14ac:dyDescent="0.2">
      <c r="F167" s="4" t="str">
        <f>IF(LEN(TRIM(A167))=0,"",COUNTIFS(Students!H:H, A167))</f>
        <v/>
      </c>
      <c r="G167" s="4" t="str">
        <f>IF(LEN(TRIM(A167))=0,"",COUNTIFS(Students!H:H, A167, Students!D:D, "&lt;&gt;"))</f>
        <v/>
      </c>
      <c r="H167" s="4" t="str">
        <f t="shared" si="4"/>
        <v/>
      </c>
      <c r="I167" s="5" t="str">
        <f t="shared" si="5"/>
        <v/>
      </c>
    </row>
    <row r="168" spans="6:9" x14ac:dyDescent="0.2">
      <c r="F168" s="4" t="str">
        <f>IF(LEN(TRIM(A168))=0,"",COUNTIFS(Students!H:H, A168))</f>
        <v/>
      </c>
      <c r="G168" s="4" t="str">
        <f>IF(LEN(TRIM(A168))=0,"",COUNTIFS(Students!H:H, A168, Students!D:D, "&lt;&gt;"))</f>
        <v/>
      </c>
      <c r="H168" s="4" t="str">
        <f t="shared" si="4"/>
        <v/>
      </c>
      <c r="I168" s="5" t="str">
        <f t="shared" si="5"/>
        <v/>
      </c>
    </row>
    <row r="169" spans="6:9" x14ac:dyDescent="0.2">
      <c r="F169" s="4" t="str">
        <f>IF(LEN(TRIM(A169))=0,"",COUNTIFS(Students!H:H, A169))</f>
        <v/>
      </c>
      <c r="G169" s="4" t="str">
        <f>IF(LEN(TRIM(A169))=0,"",COUNTIFS(Students!H:H, A169, Students!D:D, "&lt;&gt;"))</f>
        <v/>
      </c>
      <c r="H169" s="4" t="str">
        <f t="shared" si="4"/>
        <v/>
      </c>
      <c r="I169" s="5" t="str">
        <f t="shared" si="5"/>
        <v/>
      </c>
    </row>
    <row r="170" spans="6:9" x14ac:dyDescent="0.2">
      <c r="F170" s="4" t="str">
        <f>IF(LEN(TRIM(A170))=0,"",COUNTIFS(Students!H:H, A170))</f>
        <v/>
      </c>
      <c r="G170" s="4" t="str">
        <f>IF(LEN(TRIM(A170))=0,"",COUNTIFS(Students!H:H, A170, Students!D:D, "&lt;&gt;"))</f>
        <v/>
      </c>
      <c r="H170" s="4" t="str">
        <f t="shared" si="4"/>
        <v/>
      </c>
      <c r="I170" s="5" t="str">
        <f t="shared" si="5"/>
        <v/>
      </c>
    </row>
    <row r="171" spans="6:9" x14ac:dyDescent="0.2">
      <c r="F171" s="4" t="str">
        <f>IF(LEN(TRIM(A171))=0,"",COUNTIFS(Students!H:H, A171))</f>
        <v/>
      </c>
      <c r="G171" s="4" t="str">
        <f>IF(LEN(TRIM(A171))=0,"",COUNTIFS(Students!H:H, A171, Students!D:D, "&lt;&gt;"))</f>
        <v/>
      </c>
      <c r="H171" s="4" t="str">
        <f t="shared" si="4"/>
        <v/>
      </c>
      <c r="I171" s="5" t="str">
        <f t="shared" si="5"/>
        <v/>
      </c>
    </row>
    <row r="172" spans="6:9" x14ac:dyDescent="0.2">
      <c r="F172" s="4" t="str">
        <f>IF(LEN(TRIM(A172))=0,"",COUNTIFS(Students!H:H, A172))</f>
        <v/>
      </c>
      <c r="G172" s="4" t="str">
        <f>IF(LEN(TRIM(A172))=0,"",COUNTIFS(Students!H:H, A172, Students!D:D, "&lt;&gt;"))</f>
        <v/>
      </c>
      <c r="H172" s="4" t="str">
        <f t="shared" si="4"/>
        <v/>
      </c>
      <c r="I172" s="5" t="str">
        <f t="shared" si="5"/>
        <v/>
      </c>
    </row>
    <row r="173" spans="6:9" x14ac:dyDescent="0.2">
      <c r="F173" s="4" t="str">
        <f>IF(LEN(TRIM(A173))=0,"",COUNTIFS(Students!H:H, A173))</f>
        <v/>
      </c>
      <c r="G173" s="4" t="str">
        <f>IF(LEN(TRIM(A173))=0,"",COUNTIFS(Students!H:H, A173, Students!D:D, "&lt;&gt;"))</f>
        <v/>
      </c>
      <c r="H173" s="4" t="str">
        <f t="shared" si="4"/>
        <v/>
      </c>
      <c r="I173" s="5" t="str">
        <f t="shared" si="5"/>
        <v/>
      </c>
    </row>
    <row r="174" spans="6:9" x14ac:dyDescent="0.2">
      <c r="F174" s="4" t="str">
        <f>IF(LEN(TRIM(A174))=0,"",COUNTIFS(Students!H:H, A174))</f>
        <v/>
      </c>
      <c r="G174" s="4" t="str">
        <f>IF(LEN(TRIM(A174))=0,"",COUNTIFS(Students!H:H, A174, Students!D:D, "&lt;&gt;"))</f>
        <v/>
      </c>
      <c r="H174" s="4" t="str">
        <f t="shared" si="4"/>
        <v/>
      </c>
      <c r="I174" s="5" t="str">
        <f t="shared" si="5"/>
        <v/>
      </c>
    </row>
    <row r="175" spans="6:9" x14ac:dyDescent="0.2">
      <c r="F175" s="4" t="str">
        <f>IF(LEN(TRIM(A175))=0,"",COUNTIFS(Students!H:H, A175))</f>
        <v/>
      </c>
      <c r="G175" s="4" t="str">
        <f>IF(LEN(TRIM(A175))=0,"",COUNTIFS(Students!H:H, A175, Students!D:D, "&lt;&gt;"))</f>
        <v/>
      </c>
      <c r="H175" s="4" t="str">
        <f t="shared" si="4"/>
        <v/>
      </c>
      <c r="I175" s="5" t="str">
        <f t="shared" si="5"/>
        <v/>
      </c>
    </row>
    <row r="176" spans="6:9" x14ac:dyDescent="0.2">
      <c r="F176" s="4" t="str">
        <f>IF(LEN(TRIM(A176))=0,"",COUNTIFS(Students!H:H, A176))</f>
        <v/>
      </c>
      <c r="G176" s="4" t="str">
        <f>IF(LEN(TRIM(A176))=0,"",COUNTIFS(Students!H:H, A176, Students!D:D, "&lt;&gt;"))</f>
        <v/>
      </c>
      <c r="H176" s="4" t="str">
        <f t="shared" si="4"/>
        <v/>
      </c>
      <c r="I176" s="5" t="str">
        <f t="shared" si="5"/>
        <v/>
      </c>
    </row>
    <row r="177" spans="6:9" x14ac:dyDescent="0.2">
      <c r="F177" s="4" t="str">
        <f>IF(LEN(TRIM(A177))=0,"",COUNTIFS(Students!H:H, A177))</f>
        <v/>
      </c>
      <c r="G177" s="4" t="str">
        <f>IF(LEN(TRIM(A177))=0,"",COUNTIFS(Students!H:H, A177, Students!D:D, "&lt;&gt;"))</f>
        <v/>
      </c>
      <c r="H177" s="4" t="str">
        <f t="shared" si="4"/>
        <v/>
      </c>
      <c r="I177" s="5" t="str">
        <f t="shared" si="5"/>
        <v/>
      </c>
    </row>
    <row r="178" spans="6:9" x14ac:dyDescent="0.2">
      <c r="F178" s="4" t="str">
        <f>IF(LEN(TRIM(A178))=0,"",COUNTIFS(Students!H:H, A178))</f>
        <v/>
      </c>
      <c r="G178" s="4" t="str">
        <f>IF(LEN(TRIM(A178))=0,"",COUNTIFS(Students!H:H, A178, Students!D:D, "&lt;&gt;"))</f>
        <v/>
      </c>
      <c r="H178" s="4" t="str">
        <f t="shared" si="4"/>
        <v/>
      </c>
      <c r="I178" s="5" t="str">
        <f t="shared" si="5"/>
        <v/>
      </c>
    </row>
    <row r="179" spans="6:9" x14ac:dyDescent="0.2">
      <c r="F179" s="4" t="str">
        <f>IF(LEN(TRIM(A179))=0,"",COUNTIFS(Students!H:H, A179))</f>
        <v/>
      </c>
      <c r="G179" s="4" t="str">
        <f>IF(LEN(TRIM(A179))=0,"",COUNTIFS(Students!H:H, A179, Students!D:D, "&lt;&gt;"))</f>
        <v/>
      </c>
      <c r="H179" s="4" t="str">
        <f t="shared" si="4"/>
        <v/>
      </c>
      <c r="I179" s="5" t="str">
        <f t="shared" si="5"/>
        <v/>
      </c>
    </row>
    <row r="180" spans="6:9" x14ac:dyDescent="0.2">
      <c r="F180" s="4" t="str">
        <f>IF(LEN(TRIM(A180))=0,"",COUNTIFS(Students!H:H, A180))</f>
        <v/>
      </c>
      <c r="G180" s="4" t="str">
        <f>IF(LEN(TRIM(A180))=0,"",COUNTIFS(Students!H:H, A180, Students!D:D, "&lt;&gt;"))</f>
        <v/>
      </c>
      <c r="H180" s="4" t="str">
        <f t="shared" si="4"/>
        <v/>
      </c>
      <c r="I180" s="5" t="str">
        <f t="shared" si="5"/>
        <v/>
      </c>
    </row>
    <row r="181" spans="6:9" x14ac:dyDescent="0.2">
      <c r="F181" s="4" t="str">
        <f>IF(LEN(TRIM(A181))=0,"",COUNTIFS(Students!H:H, A181))</f>
        <v/>
      </c>
      <c r="G181" s="4" t="str">
        <f>IF(LEN(TRIM(A181))=0,"",COUNTIFS(Students!H:H, A181, Students!D:D, "&lt;&gt;"))</f>
        <v/>
      </c>
      <c r="H181" s="4" t="str">
        <f t="shared" si="4"/>
        <v/>
      </c>
      <c r="I181" s="5" t="str">
        <f t="shared" si="5"/>
        <v/>
      </c>
    </row>
    <row r="182" spans="6:9" x14ac:dyDescent="0.2">
      <c r="F182" s="4" t="str">
        <f>IF(LEN(TRIM(A182))=0,"",COUNTIFS(Students!H:H, A182))</f>
        <v/>
      </c>
      <c r="G182" s="4" t="str">
        <f>IF(LEN(TRIM(A182))=0,"",COUNTIFS(Students!H:H, A182, Students!D:D, "&lt;&gt;"))</f>
        <v/>
      </c>
      <c r="H182" s="4" t="str">
        <f t="shared" si="4"/>
        <v/>
      </c>
      <c r="I182" s="5" t="str">
        <f t="shared" si="5"/>
        <v/>
      </c>
    </row>
    <row r="183" spans="6:9" x14ac:dyDescent="0.2">
      <c r="F183" s="4" t="str">
        <f>IF(LEN(TRIM(A183))=0,"",COUNTIFS(Students!H:H, A183))</f>
        <v/>
      </c>
      <c r="G183" s="4" t="str">
        <f>IF(LEN(TRIM(A183))=0,"",COUNTIFS(Students!H:H, A183, Students!D:D, "&lt;&gt;"))</f>
        <v/>
      </c>
      <c r="H183" s="4" t="str">
        <f t="shared" si="4"/>
        <v/>
      </c>
      <c r="I183" s="5" t="str">
        <f t="shared" si="5"/>
        <v/>
      </c>
    </row>
    <row r="184" spans="6:9" x14ac:dyDescent="0.2">
      <c r="F184" s="4" t="str">
        <f>IF(LEN(TRIM(A184))=0,"",COUNTIFS(Students!H:H, A184))</f>
        <v/>
      </c>
      <c r="G184" s="4" t="str">
        <f>IF(LEN(TRIM(A184))=0,"",COUNTIFS(Students!H:H, A184, Students!D:D, "&lt;&gt;"))</f>
        <v/>
      </c>
      <c r="H184" s="4" t="str">
        <f t="shared" si="4"/>
        <v/>
      </c>
      <c r="I184" s="5" t="str">
        <f t="shared" si="5"/>
        <v/>
      </c>
    </row>
    <row r="185" spans="6:9" x14ac:dyDescent="0.2">
      <c r="F185" s="4" t="str">
        <f>IF(LEN(TRIM(A185))=0,"",COUNTIFS(Students!H:H, A185))</f>
        <v/>
      </c>
      <c r="G185" s="4" t="str">
        <f>IF(LEN(TRIM(A185))=0,"",COUNTIFS(Students!H:H, A185, Students!D:D, "&lt;&gt;"))</f>
        <v/>
      </c>
      <c r="H185" s="4" t="str">
        <f t="shared" si="4"/>
        <v/>
      </c>
      <c r="I185" s="5" t="str">
        <f t="shared" si="5"/>
        <v/>
      </c>
    </row>
    <row r="186" spans="6:9" x14ac:dyDescent="0.2">
      <c r="F186" s="4" t="str">
        <f>IF(LEN(TRIM(A186))=0,"",COUNTIFS(Students!H:H, A186))</f>
        <v/>
      </c>
      <c r="G186" s="4" t="str">
        <f>IF(LEN(TRIM(A186))=0,"",COUNTIFS(Students!H:H, A186, Students!D:D, "&lt;&gt;"))</f>
        <v/>
      </c>
      <c r="H186" s="4" t="str">
        <f t="shared" si="4"/>
        <v/>
      </c>
      <c r="I186" s="5" t="str">
        <f t="shared" si="5"/>
        <v/>
      </c>
    </row>
    <row r="187" spans="6:9" x14ac:dyDescent="0.2">
      <c r="F187" s="4" t="str">
        <f>IF(LEN(TRIM(A187))=0,"",COUNTIFS(Students!H:H, A187))</f>
        <v/>
      </c>
      <c r="G187" s="4" t="str">
        <f>IF(LEN(TRIM(A187))=0,"",COUNTIFS(Students!H:H, A187, Students!D:D, "&lt;&gt;"))</f>
        <v/>
      </c>
      <c r="H187" s="4" t="str">
        <f t="shared" si="4"/>
        <v/>
      </c>
      <c r="I187" s="5" t="str">
        <f t="shared" si="5"/>
        <v/>
      </c>
    </row>
    <row r="188" spans="6:9" x14ac:dyDescent="0.2">
      <c r="F188" s="4" t="str">
        <f>IF(LEN(TRIM(A188))=0,"",COUNTIFS(Students!H:H, A188))</f>
        <v/>
      </c>
      <c r="G188" s="4" t="str">
        <f>IF(LEN(TRIM(A188))=0,"",COUNTIFS(Students!H:H, A188, Students!D:D, "&lt;&gt;"))</f>
        <v/>
      </c>
      <c r="H188" s="4" t="str">
        <f t="shared" si="4"/>
        <v/>
      </c>
      <c r="I188" s="5" t="str">
        <f t="shared" si="5"/>
        <v/>
      </c>
    </row>
    <row r="189" spans="6:9" x14ac:dyDescent="0.2">
      <c r="F189" s="4" t="str">
        <f>IF(LEN(TRIM(A189))=0,"",COUNTIFS(Students!H:H, A189))</f>
        <v/>
      </c>
      <c r="G189" s="4" t="str">
        <f>IF(LEN(TRIM(A189))=0,"",COUNTIFS(Students!H:H, A189, Students!D:D, "&lt;&gt;"))</f>
        <v/>
      </c>
      <c r="H189" s="4" t="str">
        <f t="shared" si="4"/>
        <v/>
      </c>
      <c r="I189" s="5" t="str">
        <f t="shared" si="5"/>
        <v/>
      </c>
    </row>
    <row r="190" spans="6:9" x14ac:dyDescent="0.2">
      <c r="F190" s="4" t="str">
        <f>IF(LEN(TRIM(A190))=0,"",COUNTIFS(Students!H:H, A190))</f>
        <v/>
      </c>
      <c r="G190" s="4" t="str">
        <f>IF(LEN(TRIM(A190))=0,"",COUNTIFS(Students!H:H, A190, Students!D:D, "&lt;&gt;"))</f>
        <v/>
      </c>
      <c r="H190" s="4" t="str">
        <f t="shared" si="4"/>
        <v/>
      </c>
      <c r="I190" s="5" t="str">
        <f t="shared" si="5"/>
        <v/>
      </c>
    </row>
    <row r="191" spans="6:9" x14ac:dyDescent="0.2">
      <c r="F191" s="4" t="str">
        <f>IF(LEN(TRIM(A191))=0,"",COUNTIFS(Students!H:H, A191))</f>
        <v/>
      </c>
      <c r="G191" s="4" t="str">
        <f>IF(LEN(TRIM(A191))=0,"",COUNTIFS(Students!H:H, A191, Students!D:D, "&lt;&gt;"))</f>
        <v/>
      </c>
      <c r="H191" s="4" t="str">
        <f t="shared" si="4"/>
        <v/>
      </c>
      <c r="I191" s="5" t="str">
        <f t="shared" si="5"/>
        <v/>
      </c>
    </row>
    <row r="192" spans="6:9" x14ac:dyDescent="0.2">
      <c r="F192" s="4" t="str">
        <f>IF(LEN(TRIM(A192))=0,"",COUNTIFS(Students!H:H, A192))</f>
        <v/>
      </c>
      <c r="G192" s="4" t="str">
        <f>IF(LEN(TRIM(A192))=0,"",COUNTIFS(Students!H:H, A192, Students!D:D, "&lt;&gt;"))</f>
        <v/>
      </c>
      <c r="H192" s="4" t="str">
        <f t="shared" si="4"/>
        <v/>
      </c>
      <c r="I192" s="5" t="str">
        <f t="shared" si="5"/>
        <v/>
      </c>
    </row>
    <row r="193" spans="6:9" x14ac:dyDescent="0.2">
      <c r="F193" s="4" t="str">
        <f>IF(LEN(TRIM(A193))=0,"",COUNTIFS(Students!H:H, A193))</f>
        <v/>
      </c>
      <c r="G193" s="4" t="str">
        <f>IF(LEN(TRIM(A193))=0,"",COUNTIFS(Students!H:H, A193, Students!D:D, "&lt;&gt;"))</f>
        <v/>
      </c>
      <c r="H193" s="4" t="str">
        <f t="shared" si="4"/>
        <v/>
      </c>
      <c r="I193" s="5" t="str">
        <f t="shared" si="5"/>
        <v/>
      </c>
    </row>
    <row r="194" spans="6:9" x14ac:dyDescent="0.2">
      <c r="F194" s="4" t="str">
        <f>IF(LEN(TRIM(A194))=0,"",COUNTIFS(Students!H:H, A194))</f>
        <v/>
      </c>
      <c r="G194" s="4" t="str">
        <f>IF(LEN(TRIM(A194))=0,"",COUNTIFS(Students!H:H, A194, Students!D:D, "&lt;&gt;"))</f>
        <v/>
      </c>
      <c r="H194" s="4" t="str">
        <f t="shared" si="4"/>
        <v/>
      </c>
      <c r="I194" s="5" t="str">
        <f t="shared" si="5"/>
        <v/>
      </c>
    </row>
    <row r="195" spans="6:9" x14ac:dyDescent="0.2">
      <c r="F195" s="4" t="str">
        <f>IF(LEN(TRIM(A195))=0,"",COUNTIFS(Students!H:H, A195))</f>
        <v/>
      </c>
      <c r="G195" s="4" t="str">
        <f>IF(LEN(TRIM(A195))=0,"",COUNTIFS(Students!H:H, A195, Students!D:D, "&lt;&gt;"))</f>
        <v/>
      </c>
      <c r="H195" s="4" t="str">
        <f t="shared" ref="H195:H258" si="6">IFERROR(F195-G195,"")</f>
        <v/>
      </c>
      <c r="I195" s="5" t="str">
        <f t="shared" ref="I195:I258" si="7">IFERROR(IF(F195=0, "N/A", G195/F195),"")</f>
        <v/>
      </c>
    </row>
    <row r="196" spans="6:9" x14ac:dyDescent="0.2">
      <c r="F196" s="4" t="str">
        <f>IF(LEN(TRIM(A196))=0,"",COUNTIFS(Students!H:H, A196))</f>
        <v/>
      </c>
      <c r="G196" s="4" t="str">
        <f>IF(LEN(TRIM(A196))=0,"",COUNTIFS(Students!H:H, A196, Students!D:D, "&lt;&gt;"))</f>
        <v/>
      </c>
      <c r="H196" s="4" t="str">
        <f t="shared" si="6"/>
        <v/>
      </c>
      <c r="I196" s="5" t="str">
        <f t="shared" si="7"/>
        <v/>
      </c>
    </row>
    <row r="197" spans="6:9" x14ac:dyDescent="0.2">
      <c r="F197" s="4" t="str">
        <f>IF(LEN(TRIM(A197))=0,"",COUNTIFS(Students!H:H, A197))</f>
        <v/>
      </c>
      <c r="G197" s="4" t="str">
        <f>IF(LEN(TRIM(A197))=0,"",COUNTIFS(Students!H:H, A197, Students!D:D, "&lt;&gt;"))</f>
        <v/>
      </c>
      <c r="H197" s="4" t="str">
        <f t="shared" si="6"/>
        <v/>
      </c>
      <c r="I197" s="5" t="str">
        <f t="shared" si="7"/>
        <v/>
      </c>
    </row>
    <row r="198" spans="6:9" x14ac:dyDescent="0.2">
      <c r="F198" s="4" t="str">
        <f>IF(LEN(TRIM(A198))=0,"",COUNTIFS(Students!H:H, A198))</f>
        <v/>
      </c>
      <c r="G198" s="4" t="str">
        <f>IF(LEN(TRIM(A198))=0,"",COUNTIFS(Students!H:H, A198, Students!D:D, "&lt;&gt;"))</f>
        <v/>
      </c>
      <c r="H198" s="4" t="str">
        <f t="shared" si="6"/>
        <v/>
      </c>
      <c r="I198" s="5" t="str">
        <f t="shared" si="7"/>
        <v/>
      </c>
    </row>
    <row r="199" spans="6:9" x14ac:dyDescent="0.2">
      <c r="F199" s="4" t="str">
        <f>IF(LEN(TRIM(A199))=0,"",COUNTIFS(Students!H:H, A199))</f>
        <v/>
      </c>
      <c r="G199" s="4" t="str">
        <f>IF(LEN(TRIM(A199))=0,"",COUNTIFS(Students!H:H, A199, Students!D:D, "&lt;&gt;"))</f>
        <v/>
      </c>
      <c r="H199" s="4" t="str">
        <f t="shared" si="6"/>
        <v/>
      </c>
      <c r="I199" s="5" t="str">
        <f t="shared" si="7"/>
        <v/>
      </c>
    </row>
    <row r="200" spans="6:9" x14ac:dyDescent="0.2">
      <c r="F200" s="4" t="str">
        <f>IF(LEN(TRIM(A200))=0,"",COUNTIFS(Students!H:H, A200))</f>
        <v/>
      </c>
      <c r="G200" s="4" t="str">
        <f>IF(LEN(TRIM(A200))=0,"",COUNTIFS(Students!H:H, A200, Students!D:D, "&lt;&gt;"))</f>
        <v/>
      </c>
      <c r="H200" s="4" t="str">
        <f t="shared" si="6"/>
        <v/>
      </c>
      <c r="I200" s="5" t="str">
        <f t="shared" si="7"/>
        <v/>
      </c>
    </row>
    <row r="201" spans="6:9" x14ac:dyDescent="0.2">
      <c r="F201" s="4" t="str">
        <f>IF(LEN(TRIM(A201))=0,"",COUNTIFS(Students!H:H, A201))</f>
        <v/>
      </c>
      <c r="G201" s="4" t="str">
        <f>IF(LEN(TRIM(A201))=0,"",COUNTIFS(Students!H:H, A201, Students!D:D, "&lt;&gt;"))</f>
        <v/>
      </c>
      <c r="H201" s="4" t="str">
        <f t="shared" si="6"/>
        <v/>
      </c>
      <c r="I201" s="5" t="str">
        <f t="shared" si="7"/>
        <v/>
      </c>
    </row>
    <row r="202" spans="6:9" x14ac:dyDescent="0.2">
      <c r="F202" s="4" t="str">
        <f>IF(LEN(TRIM(A202))=0,"",COUNTIFS(Students!H:H, A202))</f>
        <v/>
      </c>
      <c r="G202" s="4" t="str">
        <f>IF(LEN(TRIM(A202))=0,"",COUNTIFS(Students!H:H, A202, Students!D:D, "&lt;&gt;"))</f>
        <v/>
      </c>
      <c r="H202" s="4" t="str">
        <f t="shared" si="6"/>
        <v/>
      </c>
      <c r="I202" s="5" t="str">
        <f t="shared" si="7"/>
        <v/>
      </c>
    </row>
    <row r="203" spans="6:9" x14ac:dyDescent="0.2">
      <c r="F203" s="4" t="str">
        <f>IF(LEN(TRIM(A203))=0,"",COUNTIFS(Students!H:H, A203))</f>
        <v/>
      </c>
      <c r="G203" s="4" t="str">
        <f>IF(LEN(TRIM(A203))=0,"",COUNTIFS(Students!H:H, A203, Students!D:D, "&lt;&gt;"))</f>
        <v/>
      </c>
      <c r="H203" s="4" t="str">
        <f t="shared" si="6"/>
        <v/>
      </c>
      <c r="I203" s="5" t="str">
        <f t="shared" si="7"/>
        <v/>
      </c>
    </row>
    <row r="204" spans="6:9" x14ac:dyDescent="0.2">
      <c r="F204" s="4" t="str">
        <f>IF(LEN(TRIM(A204))=0,"",COUNTIFS(Students!H:H, A204))</f>
        <v/>
      </c>
      <c r="G204" s="4" t="str">
        <f>IF(LEN(TRIM(A204))=0,"",COUNTIFS(Students!H:H, A204, Students!D:D, "&lt;&gt;"))</f>
        <v/>
      </c>
      <c r="H204" s="4" t="str">
        <f t="shared" si="6"/>
        <v/>
      </c>
      <c r="I204" s="5" t="str">
        <f t="shared" si="7"/>
        <v/>
      </c>
    </row>
    <row r="205" spans="6:9" x14ac:dyDescent="0.2">
      <c r="F205" s="4" t="str">
        <f>IF(LEN(TRIM(A205))=0,"",COUNTIFS(Students!H:H, A205))</f>
        <v/>
      </c>
      <c r="G205" s="4" t="str">
        <f>IF(LEN(TRIM(A205))=0,"",COUNTIFS(Students!H:H, A205, Students!D:D, "&lt;&gt;"))</f>
        <v/>
      </c>
      <c r="H205" s="4" t="str">
        <f t="shared" si="6"/>
        <v/>
      </c>
      <c r="I205" s="5" t="str">
        <f t="shared" si="7"/>
        <v/>
      </c>
    </row>
    <row r="206" spans="6:9" x14ac:dyDescent="0.2">
      <c r="F206" s="4" t="str">
        <f>IF(LEN(TRIM(A206))=0,"",COUNTIFS(Students!H:H, A206))</f>
        <v/>
      </c>
      <c r="G206" s="4" t="str">
        <f>IF(LEN(TRIM(A206))=0,"",COUNTIFS(Students!H:H, A206, Students!D:D, "&lt;&gt;"))</f>
        <v/>
      </c>
      <c r="H206" s="4" t="str">
        <f t="shared" si="6"/>
        <v/>
      </c>
      <c r="I206" s="5" t="str">
        <f t="shared" si="7"/>
        <v/>
      </c>
    </row>
    <row r="207" spans="6:9" x14ac:dyDescent="0.2">
      <c r="F207" s="4" t="str">
        <f>IF(LEN(TRIM(A207))=0,"",COUNTIFS(Students!H:H, A207))</f>
        <v/>
      </c>
      <c r="G207" s="4" t="str">
        <f>IF(LEN(TRIM(A207))=0,"",COUNTIFS(Students!H:H, A207, Students!D:D, "&lt;&gt;"))</f>
        <v/>
      </c>
      <c r="H207" s="4" t="str">
        <f t="shared" si="6"/>
        <v/>
      </c>
      <c r="I207" s="5" t="str">
        <f t="shared" si="7"/>
        <v/>
      </c>
    </row>
    <row r="208" spans="6:9" x14ac:dyDescent="0.2">
      <c r="F208" s="4" t="str">
        <f>IF(LEN(TRIM(A208))=0,"",COUNTIFS(Students!H:H, A208))</f>
        <v/>
      </c>
      <c r="G208" s="4" t="str">
        <f>IF(LEN(TRIM(A208))=0,"",COUNTIFS(Students!H:H, A208, Students!D:D, "&lt;&gt;"))</f>
        <v/>
      </c>
      <c r="H208" s="4" t="str">
        <f t="shared" si="6"/>
        <v/>
      </c>
      <c r="I208" s="5" t="str">
        <f t="shared" si="7"/>
        <v/>
      </c>
    </row>
    <row r="209" spans="6:9" x14ac:dyDescent="0.2">
      <c r="F209" s="4" t="str">
        <f>IF(LEN(TRIM(A209))=0,"",COUNTIFS(Students!H:H, A209))</f>
        <v/>
      </c>
      <c r="G209" s="4" t="str">
        <f>IF(LEN(TRIM(A209))=0,"",COUNTIFS(Students!H:H, A209, Students!D:D, "&lt;&gt;"))</f>
        <v/>
      </c>
      <c r="H209" s="4" t="str">
        <f t="shared" si="6"/>
        <v/>
      </c>
      <c r="I209" s="5" t="str">
        <f t="shared" si="7"/>
        <v/>
      </c>
    </row>
    <row r="210" spans="6:9" x14ac:dyDescent="0.2">
      <c r="F210" s="4" t="str">
        <f>IF(LEN(TRIM(A210))=0,"",COUNTIFS(Students!H:H, A210))</f>
        <v/>
      </c>
      <c r="G210" s="4" t="str">
        <f>IF(LEN(TRIM(A210))=0,"",COUNTIFS(Students!H:H, A210, Students!D:D, "&lt;&gt;"))</f>
        <v/>
      </c>
      <c r="H210" s="4" t="str">
        <f t="shared" si="6"/>
        <v/>
      </c>
      <c r="I210" s="5" t="str">
        <f t="shared" si="7"/>
        <v/>
      </c>
    </row>
    <row r="211" spans="6:9" x14ac:dyDescent="0.2">
      <c r="F211" s="4" t="str">
        <f>IF(LEN(TRIM(A211))=0,"",COUNTIFS(Students!H:H, A211))</f>
        <v/>
      </c>
      <c r="G211" s="4" t="str">
        <f>IF(LEN(TRIM(A211))=0,"",COUNTIFS(Students!H:H, A211, Students!D:D, "&lt;&gt;"))</f>
        <v/>
      </c>
      <c r="H211" s="4" t="str">
        <f t="shared" si="6"/>
        <v/>
      </c>
      <c r="I211" s="5" t="str">
        <f t="shared" si="7"/>
        <v/>
      </c>
    </row>
    <row r="212" spans="6:9" x14ac:dyDescent="0.2">
      <c r="F212" s="4" t="str">
        <f>IF(LEN(TRIM(A212))=0,"",COUNTIFS(Students!H:H, A212))</f>
        <v/>
      </c>
      <c r="G212" s="4" t="str">
        <f>IF(LEN(TRIM(A212))=0,"",COUNTIFS(Students!H:H, A212, Students!D:D, "&lt;&gt;"))</f>
        <v/>
      </c>
      <c r="H212" s="4" t="str">
        <f t="shared" si="6"/>
        <v/>
      </c>
      <c r="I212" s="5" t="str">
        <f t="shared" si="7"/>
        <v/>
      </c>
    </row>
    <row r="213" spans="6:9" x14ac:dyDescent="0.2">
      <c r="F213" s="4" t="str">
        <f>IF(LEN(TRIM(A213))=0,"",COUNTIFS(Students!H:H, A213))</f>
        <v/>
      </c>
      <c r="G213" s="4" t="str">
        <f>IF(LEN(TRIM(A213))=0,"",COUNTIFS(Students!H:H, A213, Students!D:D, "&lt;&gt;"))</f>
        <v/>
      </c>
      <c r="H213" s="4" t="str">
        <f t="shared" si="6"/>
        <v/>
      </c>
      <c r="I213" s="5" t="str">
        <f t="shared" si="7"/>
        <v/>
      </c>
    </row>
    <row r="214" spans="6:9" x14ac:dyDescent="0.2">
      <c r="F214" s="4" t="str">
        <f>IF(LEN(TRIM(A214))=0,"",COUNTIFS(Students!H:H, A214))</f>
        <v/>
      </c>
      <c r="G214" s="4" t="str">
        <f>IF(LEN(TRIM(A214))=0,"",COUNTIFS(Students!H:H, A214, Students!D:D, "&lt;&gt;"))</f>
        <v/>
      </c>
      <c r="H214" s="4" t="str">
        <f t="shared" si="6"/>
        <v/>
      </c>
      <c r="I214" s="5" t="str">
        <f t="shared" si="7"/>
        <v/>
      </c>
    </row>
    <row r="215" spans="6:9" x14ac:dyDescent="0.2">
      <c r="F215" s="4" t="str">
        <f>IF(LEN(TRIM(A215))=0,"",COUNTIFS(Students!H:H, A215))</f>
        <v/>
      </c>
      <c r="G215" s="4" t="str">
        <f>IF(LEN(TRIM(A215))=0,"",COUNTIFS(Students!H:H, A215, Students!D:D, "&lt;&gt;"))</f>
        <v/>
      </c>
      <c r="H215" s="4" t="str">
        <f t="shared" si="6"/>
        <v/>
      </c>
      <c r="I215" s="5" t="str">
        <f t="shared" si="7"/>
        <v/>
      </c>
    </row>
    <row r="216" spans="6:9" x14ac:dyDescent="0.2">
      <c r="F216" s="4" t="str">
        <f>IF(LEN(TRIM(A216))=0,"",COUNTIFS(Students!H:H, A216))</f>
        <v/>
      </c>
      <c r="G216" s="4" t="str">
        <f>IF(LEN(TRIM(A216))=0,"",COUNTIFS(Students!H:H, A216, Students!D:D, "&lt;&gt;"))</f>
        <v/>
      </c>
      <c r="H216" s="4" t="str">
        <f t="shared" si="6"/>
        <v/>
      </c>
      <c r="I216" s="5" t="str">
        <f t="shared" si="7"/>
        <v/>
      </c>
    </row>
    <row r="217" spans="6:9" x14ac:dyDescent="0.2">
      <c r="F217" s="4" t="str">
        <f>IF(LEN(TRIM(A217))=0,"",COUNTIFS(Students!H:H, A217))</f>
        <v/>
      </c>
      <c r="G217" s="4" t="str">
        <f>IF(LEN(TRIM(A217))=0,"",COUNTIFS(Students!H:H, A217, Students!D:D, "&lt;&gt;"))</f>
        <v/>
      </c>
      <c r="H217" s="4" t="str">
        <f t="shared" si="6"/>
        <v/>
      </c>
      <c r="I217" s="5" t="str">
        <f t="shared" si="7"/>
        <v/>
      </c>
    </row>
    <row r="218" spans="6:9" x14ac:dyDescent="0.2">
      <c r="F218" s="4" t="str">
        <f>IF(LEN(TRIM(A218))=0,"",COUNTIFS(Students!H:H, A218))</f>
        <v/>
      </c>
      <c r="G218" s="4" t="str">
        <f>IF(LEN(TRIM(A218))=0,"",COUNTIFS(Students!H:H, A218, Students!D:D, "&lt;&gt;"))</f>
        <v/>
      </c>
      <c r="H218" s="4" t="str">
        <f t="shared" si="6"/>
        <v/>
      </c>
      <c r="I218" s="5" t="str">
        <f t="shared" si="7"/>
        <v/>
      </c>
    </row>
    <row r="219" spans="6:9" x14ac:dyDescent="0.2">
      <c r="F219" s="4" t="str">
        <f>IF(LEN(TRIM(A219))=0,"",COUNTIFS(Students!H:H, A219))</f>
        <v/>
      </c>
      <c r="G219" s="4" t="str">
        <f>IF(LEN(TRIM(A219))=0,"",COUNTIFS(Students!H:H, A219, Students!D:D, "&lt;&gt;"))</f>
        <v/>
      </c>
      <c r="H219" s="4" t="str">
        <f t="shared" si="6"/>
        <v/>
      </c>
      <c r="I219" s="5" t="str">
        <f t="shared" si="7"/>
        <v/>
      </c>
    </row>
    <row r="220" spans="6:9" x14ac:dyDescent="0.2">
      <c r="F220" s="4" t="str">
        <f>IF(LEN(TRIM(A220))=0,"",COUNTIFS(Students!H:H, A220))</f>
        <v/>
      </c>
      <c r="G220" s="4" t="str">
        <f>IF(LEN(TRIM(A220))=0,"",COUNTIFS(Students!H:H, A220, Students!D:D, "&lt;&gt;"))</f>
        <v/>
      </c>
      <c r="H220" s="4" t="str">
        <f t="shared" si="6"/>
        <v/>
      </c>
      <c r="I220" s="5" t="str">
        <f t="shared" si="7"/>
        <v/>
      </c>
    </row>
    <row r="221" spans="6:9" x14ac:dyDescent="0.2">
      <c r="F221" s="4" t="str">
        <f>IF(LEN(TRIM(A221))=0,"",COUNTIFS(Students!H:H, A221))</f>
        <v/>
      </c>
      <c r="G221" s="4" t="str">
        <f>IF(LEN(TRIM(A221))=0,"",COUNTIFS(Students!H:H, A221, Students!D:D, "&lt;&gt;"))</f>
        <v/>
      </c>
      <c r="H221" s="4" t="str">
        <f t="shared" si="6"/>
        <v/>
      </c>
      <c r="I221" s="5" t="str">
        <f t="shared" si="7"/>
        <v/>
      </c>
    </row>
    <row r="222" spans="6:9" x14ac:dyDescent="0.2">
      <c r="F222" s="4" t="str">
        <f>IF(LEN(TRIM(A222))=0,"",COUNTIFS(Students!H:H, A222))</f>
        <v/>
      </c>
      <c r="G222" s="4" t="str">
        <f>IF(LEN(TRIM(A222))=0,"",COUNTIFS(Students!H:H, A222, Students!D:D, "&lt;&gt;"))</f>
        <v/>
      </c>
      <c r="H222" s="4" t="str">
        <f t="shared" si="6"/>
        <v/>
      </c>
      <c r="I222" s="5" t="str">
        <f t="shared" si="7"/>
        <v/>
      </c>
    </row>
    <row r="223" spans="6:9" x14ac:dyDescent="0.2">
      <c r="F223" s="4" t="str">
        <f>IF(LEN(TRIM(A223))=0,"",COUNTIFS(Students!H:H, A223))</f>
        <v/>
      </c>
      <c r="G223" s="4" t="str">
        <f>IF(LEN(TRIM(A223))=0,"",COUNTIFS(Students!H:H, A223, Students!D:D, "&lt;&gt;"))</f>
        <v/>
      </c>
      <c r="H223" s="4" t="str">
        <f t="shared" si="6"/>
        <v/>
      </c>
      <c r="I223" s="5" t="str">
        <f t="shared" si="7"/>
        <v/>
      </c>
    </row>
    <row r="224" spans="6:9" x14ac:dyDescent="0.2">
      <c r="F224" s="4" t="str">
        <f>IF(LEN(TRIM(A224))=0,"",COUNTIFS(Students!H:H, A224))</f>
        <v/>
      </c>
      <c r="G224" s="4" t="str">
        <f>IF(LEN(TRIM(A224))=0,"",COUNTIFS(Students!H:H, A224, Students!D:D, "&lt;&gt;"))</f>
        <v/>
      </c>
      <c r="H224" s="4" t="str">
        <f t="shared" si="6"/>
        <v/>
      </c>
      <c r="I224" s="5" t="str">
        <f t="shared" si="7"/>
        <v/>
      </c>
    </row>
    <row r="225" spans="6:9" x14ac:dyDescent="0.2">
      <c r="F225" s="4" t="str">
        <f>IF(LEN(TRIM(A225))=0,"",COUNTIFS(Students!H:H, A225))</f>
        <v/>
      </c>
      <c r="G225" s="4" t="str">
        <f>IF(LEN(TRIM(A225))=0,"",COUNTIFS(Students!H:H, A225, Students!D:D, "&lt;&gt;"))</f>
        <v/>
      </c>
      <c r="H225" s="4" t="str">
        <f t="shared" si="6"/>
        <v/>
      </c>
      <c r="I225" s="5" t="str">
        <f t="shared" si="7"/>
        <v/>
      </c>
    </row>
    <row r="226" spans="6:9" x14ac:dyDescent="0.2">
      <c r="F226" s="4" t="str">
        <f>IF(LEN(TRIM(A226))=0,"",COUNTIFS(Students!H:H, A226))</f>
        <v/>
      </c>
      <c r="G226" s="4" t="str">
        <f>IF(LEN(TRIM(A226))=0,"",COUNTIFS(Students!H:H, A226, Students!D:D, "&lt;&gt;"))</f>
        <v/>
      </c>
      <c r="H226" s="4" t="str">
        <f t="shared" si="6"/>
        <v/>
      </c>
      <c r="I226" s="5" t="str">
        <f t="shared" si="7"/>
        <v/>
      </c>
    </row>
    <row r="227" spans="6:9" x14ac:dyDescent="0.2">
      <c r="F227" s="4" t="str">
        <f>IF(LEN(TRIM(A227))=0,"",COUNTIFS(Students!H:H, A227))</f>
        <v/>
      </c>
      <c r="G227" s="4" t="str">
        <f>IF(LEN(TRIM(A227))=0,"",COUNTIFS(Students!H:H, A227, Students!D:D, "&lt;&gt;"))</f>
        <v/>
      </c>
      <c r="H227" s="4" t="str">
        <f t="shared" si="6"/>
        <v/>
      </c>
      <c r="I227" s="5" t="str">
        <f t="shared" si="7"/>
        <v/>
      </c>
    </row>
    <row r="228" spans="6:9" x14ac:dyDescent="0.2">
      <c r="F228" s="4" t="str">
        <f>IF(LEN(TRIM(A228))=0,"",COUNTIFS(Students!H:H, A228))</f>
        <v/>
      </c>
      <c r="G228" s="4" t="str">
        <f>IF(LEN(TRIM(A228))=0,"",COUNTIFS(Students!H:H, A228, Students!D:D, "&lt;&gt;"))</f>
        <v/>
      </c>
      <c r="H228" s="4" t="str">
        <f t="shared" si="6"/>
        <v/>
      </c>
      <c r="I228" s="5" t="str">
        <f t="shared" si="7"/>
        <v/>
      </c>
    </row>
    <row r="229" spans="6:9" x14ac:dyDescent="0.2">
      <c r="F229" s="4" t="str">
        <f>IF(LEN(TRIM(A229))=0,"",COUNTIFS(Students!H:H, A229))</f>
        <v/>
      </c>
      <c r="G229" s="4" t="str">
        <f>IF(LEN(TRIM(A229))=0,"",COUNTIFS(Students!H:H, A229, Students!D:D, "&lt;&gt;"))</f>
        <v/>
      </c>
      <c r="H229" s="4" t="str">
        <f t="shared" si="6"/>
        <v/>
      </c>
      <c r="I229" s="5" t="str">
        <f t="shared" si="7"/>
        <v/>
      </c>
    </row>
    <row r="230" spans="6:9" x14ac:dyDescent="0.2">
      <c r="F230" s="4" t="str">
        <f>IF(LEN(TRIM(A230))=0,"",COUNTIFS(Students!H:H, A230))</f>
        <v/>
      </c>
      <c r="G230" s="4" t="str">
        <f>IF(LEN(TRIM(A230))=0,"",COUNTIFS(Students!H:H, A230, Students!D:D, "&lt;&gt;"))</f>
        <v/>
      </c>
      <c r="H230" s="4" t="str">
        <f t="shared" si="6"/>
        <v/>
      </c>
      <c r="I230" s="5" t="str">
        <f t="shared" si="7"/>
        <v/>
      </c>
    </row>
    <row r="231" spans="6:9" x14ac:dyDescent="0.2">
      <c r="F231" s="4" t="str">
        <f>IF(LEN(TRIM(A231))=0,"",COUNTIFS(Students!H:H, A231))</f>
        <v/>
      </c>
      <c r="G231" s="4" t="str">
        <f>IF(LEN(TRIM(A231))=0,"",COUNTIFS(Students!H:H, A231, Students!D:D, "&lt;&gt;"))</f>
        <v/>
      </c>
      <c r="H231" s="4" t="str">
        <f t="shared" si="6"/>
        <v/>
      </c>
      <c r="I231" s="5" t="str">
        <f t="shared" si="7"/>
        <v/>
      </c>
    </row>
    <row r="232" spans="6:9" x14ac:dyDescent="0.2">
      <c r="F232" s="4" t="str">
        <f>IF(LEN(TRIM(A232))=0,"",COUNTIFS(Students!H:H, A232))</f>
        <v/>
      </c>
      <c r="G232" s="4" t="str">
        <f>IF(LEN(TRIM(A232))=0,"",COUNTIFS(Students!H:H, A232, Students!D:D, "&lt;&gt;"))</f>
        <v/>
      </c>
      <c r="H232" s="4" t="str">
        <f t="shared" si="6"/>
        <v/>
      </c>
      <c r="I232" s="5" t="str">
        <f t="shared" si="7"/>
        <v/>
      </c>
    </row>
    <row r="233" spans="6:9" x14ac:dyDescent="0.2">
      <c r="F233" s="4" t="str">
        <f>IF(LEN(TRIM(A233))=0,"",COUNTIFS(Students!H:H, A233))</f>
        <v/>
      </c>
      <c r="G233" s="4" t="str">
        <f>IF(LEN(TRIM(A233))=0,"",COUNTIFS(Students!H:H, A233, Students!D:D, "&lt;&gt;"))</f>
        <v/>
      </c>
      <c r="H233" s="4" t="str">
        <f t="shared" si="6"/>
        <v/>
      </c>
      <c r="I233" s="5" t="str">
        <f t="shared" si="7"/>
        <v/>
      </c>
    </row>
    <row r="234" spans="6:9" x14ac:dyDescent="0.2">
      <c r="F234" s="4" t="str">
        <f>IF(LEN(TRIM(A234))=0,"",COUNTIFS(Students!H:H, A234))</f>
        <v/>
      </c>
      <c r="G234" s="4" t="str">
        <f>IF(LEN(TRIM(A234))=0,"",COUNTIFS(Students!H:H, A234, Students!D:D, "&lt;&gt;"))</f>
        <v/>
      </c>
      <c r="H234" s="4" t="str">
        <f t="shared" si="6"/>
        <v/>
      </c>
      <c r="I234" s="5" t="str">
        <f t="shared" si="7"/>
        <v/>
      </c>
    </row>
    <row r="235" spans="6:9" x14ac:dyDescent="0.2">
      <c r="F235" s="4" t="str">
        <f>IF(LEN(TRIM(A235))=0,"",COUNTIFS(Students!H:H, A235))</f>
        <v/>
      </c>
      <c r="G235" s="4" t="str">
        <f>IF(LEN(TRIM(A235))=0,"",COUNTIFS(Students!H:H, A235, Students!D:D, "&lt;&gt;"))</f>
        <v/>
      </c>
      <c r="H235" s="4" t="str">
        <f t="shared" si="6"/>
        <v/>
      </c>
      <c r="I235" s="5" t="str">
        <f t="shared" si="7"/>
        <v/>
      </c>
    </row>
    <row r="236" spans="6:9" x14ac:dyDescent="0.2">
      <c r="F236" s="4" t="str">
        <f>IF(LEN(TRIM(A236))=0,"",COUNTIFS(Students!H:H, A236))</f>
        <v/>
      </c>
      <c r="G236" s="4" t="str">
        <f>IF(LEN(TRIM(A236))=0,"",COUNTIFS(Students!H:H, A236, Students!D:D, "&lt;&gt;"))</f>
        <v/>
      </c>
      <c r="H236" s="4" t="str">
        <f t="shared" si="6"/>
        <v/>
      </c>
      <c r="I236" s="5" t="str">
        <f t="shared" si="7"/>
        <v/>
      </c>
    </row>
    <row r="237" spans="6:9" x14ac:dyDescent="0.2">
      <c r="F237" s="4" t="str">
        <f>IF(LEN(TRIM(A237))=0,"",COUNTIFS(Students!H:H, A237))</f>
        <v/>
      </c>
      <c r="G237" s="4" t="str">
        <f>IF(LEN(TRIM(A237))=0,"",COUNTIFS(Students!H:H, A237, Students!D:D, "&lt;&gt;"))</f>
        <v/>
      </c>
      <c r="H237" s="4" t="str">
        <f t="shared" si="6"/>
        <v/>
      </c>
      <c r="I237" s="5" t="str">
        <f t="shared" si="7"/>
        <v/>
      </c>
    </row>
    <row r="238" spans="6:9" x14ac:dyDescent="0.2">
      <c r="F238" s="4" t="str">
        <f>IF(LEN(TRIM(A238))=0,"",COUNTIFS(Students!H:H, A238))</f>
        <v/>
      </c>
      <c r="G238" s="4" t="str">
        <f>IF(LEN(TRIM(A238))=0,"",COUNTIFS(Students!H:H, A238, Students!D:D, "&lt;&gt;"))</f>
        <v/>
      </c>
      <c r="H238" s="4" t="str">
        <f t="shared" si="6"/>
        <v/>
      </c>
      <c r="I238" s="5" t="str">
        <f t="shared" si="7"/>
        <v/>
      </c>
    </row>
    <row r="239" spans="6:9" x14ac:dyDescent="0.2">
      <c r="F239" s="4" t="str">
        <f>IF(LEN(TRIM(A239))=0,"",COUNTIFS(Students!H:H, A239))</f>
        <v/>
      </c>
      <c r="G239" s="4" t="str">
        <f>IF(LEN(TRIM(A239))=0,"",COUNTIFS(Students!H:H, A239, Students!D:D, "&lt;&gt;"))</f>
        <v/>
      </c>
      <c r="H239" s="4" t="str">
        <f t="shared" si="6"/>
        <v/>
      </c>
      <c r="I239" s="5" t="str">
        <f t="shared" si="7"/>
        <v/>
      </c>
    </row>
    <row r="240" spans="6:9" x14ac:dyDescent="0.2">
      <c r="F240" s="4" t="str">
        <f>IF(LEN(TRIM(A240))=0,"",COUNTIFS(Students!H:H, A240))</f>
        <v/>
      </c>
      <c r="G240" s="4" t="str">
        <f>IF(LEN(TRIM(A240))=0,"",COUNTIFS(Students!H:H, A240, Students!D:D, "&lt;&gt;"))</f>
        <v/>
      </c>
      <c r="H240" s="4" t="str">
        <f t="shared" si="6"/>
        <v/>
      </c>
      <c r="I240" s="5" t="str">
        <f t="shared" si="7"/>
        <v/>
      </c>
    </row>
    <row r="241" spans="6:9" x14ac:dyDescent="0.2">
      <c r="F241" s="4" t="str">
        <f>IF(LEN(TRIM(A241))=0,"",COUNTIFS(Students!H:H, A241))</f>
        <v/>
      </c>
      <c r="G241" s="4" t="str">
        <f>IF(LEN(TRIM(A241))=0,"",COUNTIFS(Students!H:H, A241, Students!D:D, "&lt;&gt;"))</f>
        <v/>
      </c>
      <c r="H241" s="4" t="str">
        <f t="shared" si="6"/>
        <v/>
      </c>
      <c r="I241" s="5" t="str">
        <f t="shared" si="7"/>
        <v/>
      </c>
    </row>
    <row r="242" spans="6:9" x14ac:dyDescent="0.2">
      <c r="F242" s="4" t="str">
        <f>IF(LEN(TRIM(A242))=0,"",COUNTIFS(Students!H:H, A242))</f>
        <v/>
      </c>
      <c r="G242" s="4" t="str">
        <f>IF(LEN(TRIM(A242))=0,"",COUNTIFS(Students!H:H, A242, Students!D:D, "&lt;&gt;"))</f>
        <v/>
      </c>
      <c r="H242" s="4" t="str">
        <f t="shared" si="6"/>
        <v/>
      </c>
      <c r="I242" s="5" t="str">
        <f t="shared" si="7"/>
        <v/>
      </c>
    </row>
    <row r="243" spans="6:9" x14ac:dyDescent="0.2">
      <c r="F243" s="4" t="str">
        <f>IF(LEN(TRIM(A243))=0,"",COUNTIFS(Students!H:H, A243))</f>
        <v/>
      </c>
      <c r="G243" s="4" t="str">
        <f>IF(LEN(TRIM(A243))=0,"",COUNTIFS(Students!H:H, A243, Students!D:D, "&lt;&gt;"))</f>
        <v/>
      </c>
      <c r="H243" s="4" t="str">
        <f t="shared" si="6"/>
        <v/>
      </c>
      <c r="I243" s="5" t="str">
        <f t="shared" si="7"/>
        <v/>
      </c>
    </row>
    <row r="244" spans="6:9" x14ac:dyDescent="0.2">
      <c r="F244" s="4" t="str">
        <f>IF(LEN(TRIM(A244))=0,"",COUNTIFS(Students!H:H, A244))</f>
        <v/>
      </c>
      <c r="G244" s="4" t="str">
        <f>IF(LEN(TRIM(A244))=0,"",COUNTIFS(Students!H:H, A244, Students!D:D, "&lt;&gt;"))</f>
        <v/>
      </c>
      <c r="H244" s="4" t="str">
        <f t="shared" si="6"/>
        <v/>
      </c>
      <c r="I244" s="5" t="str">
        <f t="shared" si="7"/>
        <v/>
      </c>
    </row>
    <row r="245" spans="6:9" x14ac:dyDescent="0.2">
      <c r="F245" s="4" t="str">
        <f>IF(LEN(TRIM(A245))=0,"",COUNTIFS(Students!H:H, A245))</f>
        <v/>
      </c>
      <c r="G245" s="4" t="str">
        <f>IF(LEN(TRIM(A245))=0,"",COUNTIFS(Students!H:H, A245, Students!D:D, "&lt;&gt;"))</f>
        <v/>
      </c>
      <c r="H245" s="4" t="str">
        <f t="shared" si="6"/>
        <v/>
      </c>
      <c r="I245" s="5" t="str">
        <f t="shared" si="7"/>
        <v/>
      </c>
    </row>
    <row r="246" spans="6:9" x14ac:dyDescent="0.2">
      <c r="F246" s="4" t="str">
        <f>IF(LEN(TRIM(A246))=0,"",COUNTIFS(Students!H:H, A246))</f>
        <v/>
      </c>
      <c r="G246" s="4" t="str">
        <f>IF(LEN(TRIM(A246))=0,"",COUNTIFS(Students!H:H, A246, Students!D:D, "&lt;&gt;"))</f>
        <v/>
      </c>
      <c r="H246" s="4" t="str">
        <f t="shared" si="6"/>
        <v/>
      </c>
      <c r="I246" s="5" t="str">
        <f t="shared" si="7"/>
        <v/>
      </c>
    </row>
    <row r="247" spans="6:9" x14ac:dyDescent="0.2">
      <c r="F247" s="4" t="str">
        <f>IF(LEN(TRIM(A247))=0,"",COUNTIFS(Students!H:H, A247))</f>
        <v/>
      </c>
      <c r="G247" s="4" t="str">
        <f>IF(LEN(TRIM(A247))=0,"",COUNTIFS(Students!H:H, A247, Students!D:D, "&lt;&gt;"))</f>
        <v/>
      </c>
      <c r="H247" s="4" t="str">
        <f t="shared" si="6"/>
        <v/>
      </c>
      <c r="I247" s="5" t="str">
        <f t="shared" si="7"/>
        <v/>
      </c>
    </row>
    <row r="248" spans="6:9" x14ac:dyDescent="0.2">
      <c r="F248" s="4" t="str">
        <f>IF(LEN(TRIM(A248))=0,"",COUNTIFS(Students!H:H, A248))</f>
        <v/>
      </c>
      <c r="G248" s="4" t="str">
        <f>IF(LEN(TRIM(A248))=0,"",COUNTIFS(Students!H:H, A248, Students!D:D, "&lt;&gt;"))</f>
        <v/>
      </c>
      <c r="H248" s="4" t="str">
        <f t="shared" si="6"/>
        <v/>
      </c>
      <c r="I248" s="5" t="str">
        <f t="shared" si="7"/>
        <v/>
      </c>
    </row>
    <row r="249" spans="6:9" x14ac:dyDescent="0.2">
      <c r="F249" s="4" t="str">
        <f>IF(LEN(TRIM(A249))=0,"",COUNTIFS(Students!H:H, A249))</f>
        <v/>
      </c>
      <c r="G249" s="4" t="str">
        <f>IF(LEN(TRIM(A249))=0,"",COUNTIFS(Students!H:H, A249, Students!D:D, "&lt;&gt;"))</f>
        <v/>
      </c>
      <c r="H249" s="4" t="str">
        <f t="shared" si="6"/>
        <v/>
      </c>
      <c r="I249" s="5" t="str">
        <f t="shared" si="7"/>
        <v/>
      </c>
    </row>
    <row r="250" spans="6:9" x14ac:dyDescent="0.2">
      <c r="F250" s="4" t="str">
        <f>IF(LEN(TRIM(A250))=0,"",COUNTIFS(Students!H:H, A250))</f>
        <v/>
      </c>
      <c r="G250" s="4" t="str">
        <f>IF(LEN(TRIM(A250))=0,"",COUNTIFS(Students!H:H, A250, Students!D:D, "&lt;&gt;"))</f>
        <v/>
      </c>
      <c r="H250" s="4" t="str">
        <f t="shared" si="6"/>
        <v/>
      </c>
      <c r="I250" s="5" t="str">
        <f t="shared" si="7"/>
        <v/>
      </c>
    </row>
    <row r="251" spans="6:9" x14ac:dyDescent="0.2">
      <c r="F251" s="4" t="str">
        <f>IF(LEN(TRIM(A251))=0,"",COUNTIFS(Students!H:H, A251))</f>
        <v/>
      </c>
      <c r="G251" s="4" t="str">
        <f>IF(LEN(TRIM(A251))=0,"",COUNTIFS(Students!H:H, A251, Students!D:D, "&lt;&gt;"))</f>
        <v/>
      </c>
      <c r="H251" s="4" t="str">
        <f t="shared" si="6"/>
        <v/>
      </c>
      <c r="I251" s="5" t="str">
        <f t="shared" si="7"/>
        <v/>
      </c>
    </row>
    <row r="252" spans="6:9" x14ac:dyDescent="0.2">
      <c r="F252" s="4" t="str">
        <f>IF(LEN(TRIM(A252))=0,"",COUNTIFS(Students!H:H, A252))</f>
        <v/>
      </c>
      <c r="G252" s="4" t="str">
        <f>IF(LEN(TRIM(A252))=0,"",COUNTIFS(Students!H:H, A252, Students!D:D, "&lt;&gt;"))</f>
        <v/>
      </c>
      <c r="H252" s="4" t="str">
        <f t="shared" si="6"/>
        <v/>
      </c>
      <c r="I252" s="5" t="str">
        <f t="shared" si="7"/>
        <v/>
      </c>
    </row>
    <row r="253" spans="6:9" x14ac:dyDescent="0.2">
      <c r="F253" s="4" t="str">
        <f>IF(LEN(TRIM(A253))=0,"",COUNTIFS(Students!H:H, A253))</f>
        <v/>
      </c>
      <c r="G253" s="4" t="str">
        <f>IF(LEN(TRIM(A253))=0,"",COUNTIFS(Students!H:H, A253, Students!D:D, "&lt;&gt;"))</f>
        <v/>
      </c>
      <c r="H253" s="4" t="str">
        <f t="shared" si="6"/>
        <v/>
      </c>
      <c r="I253" s="5" t="str">
        <f t="shared" si="7"/>
        <v/>
      </c>
    </row>
    <row r="254" spans="6:9" x14ac:dyDescent="0.2">
      <c r="F254" s="4" t="str">
        <f>IF(LEN(TRIM(A254))=0,"",COUNTIFS(Students!H:H, A254))</f>
        <v/>
      </c>
      <c r="G254" s="4" t="str">
        <f>IF(LEN(TRIM(A254))=0,"",COUNTIFS(Students!H:H, A254, Students!D:D, "&lt;&gt;"))</f>
        <v/>
      </c>
      <c r="H254" s="4" t="str">
        <f t="shared" si="6"/>
        <v/>
      </c>
      <c r="I254" s="5" t="str">
        <f t="shared" si="7"/>
        <v/>
      </c>
    </row>
    <row r="255" spans="6:9" x14ac:dyDescent="0.2">
      <c r="F255" s="4" t="str">
        <f>IF(LEN(TRIM(A255))=0,"",COUNTIFS(Students!H:H, A255))</f>
        <v/>
      </c>
      <c r="G255" s="4" t="str">
        <f>IF(LEN(TRIM(A255))=0,"",COUNTIFS(Students!H:H, A255, Students!D:D, "&lt;&gt;"))</f>
        <v/>
      </c>
      <c r="H255" s="4" t="str">
        <f t="shared" si="6"/>
        <v/>
      </c>
      <c r="I255" s="5" t="str">
        <f t="shared" si="7"/>
        <v/>
      </c>
    </row>
    <row r="256" spans="6:9" x14ac:dyDescent="0.2">
      <c r="F256" s="4" t="str">
        <f>IF(LEN(TRIM(A256))=0,"",COUNTIFS(Students!H:H, A256))</f>
        <v/>
      </c>
      <c r="G256" s="4" t="str">
        <f>IF(LEN(TRIM(A256))=0,"",COUNTIFS(Students!H:H, A256, Students!D:D, "&lt;&gt;"))</f>
        <v/>
      </c>
      <c r="H256" s="4" t="str">
        <f t="shared" si="6"/>
        <v/>
      </c>
      <c r="I256" s="5" t="str">
        <f t="shared" si="7"/>
        <v/>
      </c>
    </row>
    <row r="257" spans="6:9" x14ac:dyDescent="0.2">
      <c r="F257" s="4" t="str">
        <f>IF(LEN(TRIM(A257))=0,"",COUNTIFS(Students!H:H, A257))</f>
        <v/>
      </c>
      <c r="G257" s="4" t="str">
        <f>IF(LEN(TRIM(A257))=0,"",COUNTIFS(Students!H:H, A257, Students!D:D, "&lt;&gt;"))</f>
        <v/>
      </c>
      <c r="H257" s="4" t="str">
        <f t="shared" si="6"/>
        <v/>
      </c>
      <c r="I257" s="5" t="str">
        <f t="shared" si="7"/>
        <v/>
      </c>
    </row>
    <row r="258" spans="6:9" x14ac:dyDescent="0.2">
      <c r="F258" s="4" t="str">
        <f>IF(LEN(TRIM(A258))=0,"",COUNTIFS(Students!H:H, A258))</f>
        <v/>
      </c>
      <c r="G258" s="4" t="str">
        <f>IF(LEN(TRIM(A258))=0,"",COUNTIFS(Students!H:H, A258, Students!D:D, "&lt;&gt;"))</f>
        <v/>
      </c>
      <c r="H258" s="4" t="str">
        <f t="shared" si="6"/>
        <v/>
      </c>
      <c r="I258" s="5" t="str">
        <f t="shared" si="7"/>
        <v/>
      </c>
    </row>
    <row r="259" spans="6:9" x14ac:dyDescent="0.2">
      <c r="F259" s="4" t="str">
        <f>IF(LEN(TRIM(A259))=0,"",COUNTIFS(Students!H:H, A259))</f>
        <v/>
      </c>
      <c r="G259" s="4" t="str">
        <f>IF(LEN(TRIM(A259))=0,"",COUNTIFS(Students!H:H, A259, Students!D:D, "&lt;&gt;"))</f>
        <v/>
      </c>
      <c r="H259" s="4" t="str">
        <f t="shared" ref="H259:H322" si="8">IFERROR(F259-G259,"")</f>
        <v/>
      </c>
      <c r="I259" s="5" t="str">
        <f t="shared" ref="I259:I322" si="9">IFERROR(IF(F259=0, "N/A", G259/F259),"")</f>
        <v/>
      </c>
    </row>
    <row r="260" spans="6:9" x14ac:dyDescent="0.2">
      <c r="F260" s="4" t="str">
        <f>IF(LEN(TRIM(A260))=0,"",COUNTIFS(Students!H:H, A260))</f>
        <v/>
      </c>
      <c r="G260" s="4" t="str">
        <f>IF(LEN(TRIM(A260))=0,"",COUNTIFS(Students!H:H, A260, Students!D:D, "&lt;&gt;"))</f>
        <v/>
      </c>
      <c r="H260" s="4" t="str">
        <f t="shared" si="8"/>
        <v/>
      </c>
      <c r="I260" s="5" t="str">
        <f t="shared" si="9"/>
        <v/>
      </c>
    </row>
    <row r="261" spans="6:9" x14ac:dyDescent="0.2">
      <c r="F261" s="4" t="str">
        <f>IF(LEN(TRIM(A261))=0,"",COUNTIFS(Students!H:H, A261))</f>
        <v/>
      </c>
      <c r="G261" s="4" t="str">
        <f>IF(LEN(TRIM(A261))=0,"",COUNTIFS(Students!H:H, A261, Students!D:D, "&lt;&gt;"))</f>
        <v/>
      </c>
      <c r="H261" s="4" t="str">
        <f t="shared" si="8"/>
        <v/>
      </c>
      <c r="I261" s="5" t="str">
        <f t="shared" si="9"/>
        <v/>
      </c>
    </row>
    <row r="262" spans="6:9" x14ac:dyDescent="0.2">
      <c r="F262" s="4" t="str">
        <f>IF(LEN(TRIM(A262))=0,"",COUNTIFS(Students!H:H, A262))</f>
        <v/>
      </c>
      <c r="G262" s="4" t="str">
        <f>IF(LEN(TRIM(A262))=0,"",COUNTIFS(Students!H:H, A262, Students!D:D, "&lt;&gt;"))</f>
        <v/>
      </c>
      <c r="H262" s="4" t="str">
        <f t="shared" si="8"/>
        <v/>
      </c>
      <c r="I262" s="5" t="str">
        <f t="shared" si="9"/>
        <v/>
      </c>
    </row>
    <row r="263" spans="6:9" x14ac:dyDescent="0.2">
      <c r="F263" s="4" t="str">
        <f>IF(LEN(TRIM(A263))=0,"",COUNTIFS(Students!H:H, A263))</f>
        <v/>
      </c>
      <c r="G263" s="4" t="str">
        <f>IF(LEN(TRIM(A263))=0,"",COUNTIFS(Students!H:H, A263, Students!D:D, "&lt;&gt;"))</f>
        <v/>
      </c>
      <c r="H263" s="4" t="str">
        <f t="shared" si="8"/>
        <v/>
      </c>
      <c r="I263" s="5" t="str">
        <f t="shared" si="9"/>
        <v/>
      </c>
    </row>
    <row r="264" spans="6:9" x14ac:dyDescent="0.2">
      <c r="F264" s="4" t="str">
        <f>IF(LEN(TRIM(A264))=0,"",COUNTIFS(Students!H:H, A264))</f>
        <v/>
      </c>
      <c r="G264" s="4" t="str">
        <f>IF(LEN(TRIM(A264))=0,"",COUNTIFS(Students!H:H, A264, Students!D:D, "&lt;&gt;"))</f>
        <v/>
      </c>
      <c r="H264" s="4" t="str">
        <f t="shared" si="8"/>
        <v/>
      </c>
      <c r="I264" s="5" t="str">
        <f t="shared" si="9"/>
        <v/>
      </c>
    </row>
    <row r="265" spans="6:9" x14ac:dyDescent="0.2">
      <c r="F265" s="4" t="str">
        <f>IF(LEN(TRIM(A265))=0,"",COUNTIFS(Students!H:H, A265))</f>
        <v/>
      </c>
      <c r="G265" s="4" t="str">
        <f>IF(LEN(TRIM(A265))=0,"",COUNTIFS(Students!H:H, A265, Students!D:D, "&lt;&gt;"))</f>
        <v/>
      </c>
      <c r="H265" s="4" t="str">
        <f t="shared" si="8"/>
        <v/>
      </c>
      <c r="I265" s="5" t="str">
        <f t="shared" si="9"/>
        <v/>
      </c>
    </row>
    <row r="266" spans="6:9" x14ac:dyDescent="0.2">
      <c r="F266" s="4" t="str">
        <f>IF(LEN(TRIM(A266))=0,"",COUNTIFS(Students!H:H, A266))</f>
        <v/>
      </c>
      <c r="G266" s="4" t="str">
        <f>IF(LEN(TRIM(A266))=0,"",COUNTIFS(Students!H:H, A266, Students!D:D, "&lt;&gt;"))</f>
        <v/>
      </c>
      <c r="H266" s="4" t="str">
        <f t="shared" si="8"/>
        <v/>
      </c>
      <c r="I266" s="5" t="str">
        <f t="shared" si="9"/>
        <v/>
      </c>
    </row>
    <row r="267" spans="6:9" x14ac:dyDescent="0.2">
      <c r="F267" s="4" t="str">
        <f>IF(LEN(TRIM(A267))=0,"",COUNTIFS(Students!H:H, A267))</f>
        <v/>
      </c>
      <c r="G267" s="4" t="str">
        <f>IF(LEN(TRIM(A267))=0,"",COUNTIFS(Students!H:H, A267, Students!D:D, "&lt;&gt;"))</f>
        <v/>
      </c>
      <c r="H267" s="4" t="str">
        <f t="shared" si="8"/>
        <v/>
      </c>
      <c r="I267" s="5" t="str">
        <f t="shared" si="9"/>
        <v/>
      </c>
    </row>
    <row r="268" spans="6:9" x14ac:dyDescent="0.2">
      <c r="F268" s="4" t="str">
        <f>IF(LEN(TRIM(A268))=0,"",COUNTIFS(Students!H:H, A268))</f>
        <v/>
      </c>
      <c r="G268" s="4" t="str">
        <f>IF(LEN(TRIM(A268))=0,"",COUNTIFS(Students!H:H, A268, Students!D:D, "&lt;&gt;"))</f>
        <v/>
      </c>
      <c r="H268" s="4" t="str">
        <f t="shared" si="8"/>
        <v/>
      </c>
      <c r="I268" s="5" t="str">
        <f t="shared" si="9"/>
        <v/>
      </c>
    </row>
    <row r="269" spans="6:9" x14ac:dyDescent="0.2">
      <c r="F269" s="4" t="str">
        <f>IF(LEN(TRIM(A269))=0,"",COUNTIFS(Students!H:H, A269))</f>
        <v/>
      </c>
      <c r="G269" s="4" t="str">
        <f>IF(LEN(TRIM(A269))=0,"",COUNTIFS(Students!H:H, A269, Students!D:D, "&lt;&gt;"))</f>
        <v/>
      </c>
      <c r="H269" s="4" t="str">
        <f t="shared" si="8"/>
        <v/>
      </c>
      <c r="I269" s="5" t="str">
        <f t="shared" si="9"/>
        <v/>
      </c>
    </row>
    <row r="270" spans="6:9" x14ac:dyDescent="0.2">
      <c r="F270" s="4" t="str">
        <f>IF(LEN(TRIM(A270))=0,"",COUNTIFS(Students!H:H, A270))</f>
        <v/>
      </c>
      <c r="G270" s="4" t="str">
        <f>IF(LEN(TRIM(A270))=0,"",COUNTIFS(Students!H:H, A270, Students!D:D, "&lt;&gt;"))</f>
        <v/>
      </c>
      <c r="H270" s="4" t="str">
        <f t="shared" si="8"/>
        <v/>
      </c>
      <c r="I270" s="5" t="str">
        <f t="shared" si="9"/>
        <v/>
      </c>
    </row>
    <row r="271" spans="6:9" x14ac:dyDescent="0.2">
      <c r="F271" s="4" t="str">
        <f>IF(LEN(TRIM(A271))=0,"",COUNTIFS(Students!H:H, A271))</f>
        <v/>
      </c>
      <c r="G271" s="4" t="str">
        <f>IF(LEN(TRIM(A271))=0,"",COUNTIFS(Students!H:H, A271, Students!D:D, "&lt;&gt;"))</f>
        <v/>
      </c>
      <c r="H271" s="4" t="str">
        <f t="shared" si="8"/>
        <v/>
      </c>
      <c r="I271" s="5" t="str">
        <f t="shared" si="9"/>
        <v/>
      </c>
    </row>
    <row r="272" spans="6:9" x14ac:dyDescent="0.2">
      <c r="F272" s="4" t="str">
        <f>IF(LEN(TRIM(A272))=0,"",COUNTIFS(Students!H:H, A272))</f>
        <v/>
      </c>
      <c r="G272" s="4" t="str">
        <f>IF(LEN(TRIM(A272))=0,"",COUNTIFS(Students!H:H, A272, Students!D:D, "&lt;&gt;"))</f>
        <v/>
      </c>
      <c r="H272" s="4" t="str">
        <f t="shared" si="8"/>
        <v/>
      </c>
      <c r="I272" s="5" t="str">
        <f t="shared" si="9"/>
        <v/>
      </c>
    </row>
    <row r="273" spans="6:9" x14ac:dyDescent="0.2">
      <c r="F273" s="4" t="str">
        <f>IF(LEN(TRIM(A273))=0,"",COUNTIFS(Students!H:H, A273))</f>
        <v/>
      </c>
      <c r="G273" s="4" t="str">
        <f>IF(LEN(TRIM(A273))=0,"",COUNTIFS(Students!H:H, A273, Students!D:D, "&lt;&gt;"))</f>
        <v/>
      </c>
      <c r="H273" s="4" t="str">
        <f t="shared" si="8"/>
        <v/>
      </c>
      <c r="I273" s="5" t="str">
        <f t="shared" si="9"/>
        <v/>
      </c>
    </row>
    <row r="274" spans="6:9" x14ac:dyDescent="0.2">
      <c r="F274" s="4" t="str">
        <f>IF(LEN(TRIM(A274))=0,"",COUNTIFS(Students!H:H, A274))</f>
        <v/>
      </c>
      <c r="G274" s="4" t="str">
        <f>IF(LEN(TRIM(A274))=0,"",COUNTIFS(Students!H:H, A274, Students!D:D, "&lt;&gt;"))</f>
        <v/>
      </c>
      <c r="H274" s="4" t="str">
        <f t="shared" si="8"/>
        <v/>
      </c>
      <c r="I274" s="5" t="str">
        <f t="shared" si="9"/>
        <v/>
      </c>
    </row>
    <row r="275" spans="6:9" x14ac:dyDescent="0.2">
      <c r="F275" s="4" t="str">
        <f>IF(LEN(TRIM(A275))=0,"",COUNTIFS(Students!H:H, A275))</f>
        <v/>
      </c>
      <c r="G275" s="4" t="str">
        <f>IF(LEN(TRIM(A275))=0,"",COUNTIFS(Students!H:H, A275, Students!D:D, "&lt;&gt;"))</f>
        <v/>
      </c>
      <c r="H275" s="4" t="str">
        <f t="shared" si="8"/>
        <v/>
      </c>
      <c r="I275" s="5" t="str">
        <f t="shared" si="9"/>
        <v/>
      </c>
    </row>
    <row r="276" spans="6:9" x14ac:dyDescent="0.2">
      <c r="F276" s="4" t="str">
        <f>IF(LEN(TRIM(A276))=0,"",COUNTIFS(Students!H:H, A276))</f>
        <v/>
      </c>
      <c r="G276" s="4" t="str">
        <f>IF(LEN(TRIM(A276))=0,"",COUNTIFS(Students!H:H, A276, Students!D:D, "&lt;&gt;"))</f>
        <v/>
      </c>
      <c r="H276" s="4" t="str">
        <f t="shared" si="8"/>
        <v/>
      </c>
      <c r="I276" s="5" t="str">
        <f t="shared" si="9"/>
        <v/>
      </c>
    </row>
    <row r="277" spans="6:9" x14ac:dyDescent="0.2">
      <c r="F277" s="4" t="str">
        <f>IF(LEN(TRIM(A277))=0,"",COUNTIFS(Students!H:H, A277))</f>
        <v/>
      </c>
      <c r="G277" s="4" t="str">
        <f>IF(LEN(TRIM(A277))=0,"",COUNTIFS(Students!H:H, A277, Students!D:D, "&lt;&gt;"))</f>
        <v/>
      </c>
      <c r="H277" s="4" t="str">
        <f t="shared" si="8"/>
        <v/>
      </c>
      <c r="I277" s="5" t="str">
        <f t="shared" si="9"/>
        <v/>
      </c>
    </row>
    <row r="278" spans="6:9" x14ac:dyDescent="0.2">
      <c r="F278" s="4" t="str">
        <f>IF(LEN(TRIM(A278))=0,"",COUNTIFS(Students!H:H, A278))</f>
        <v/>
      </c>
      <c r="G278" s="4" t="str">
        <f>IF(LEN(TRIM(A278))=0,"",COUNTIFS(Students!H:H, A278, Students!D:D, "&lt;&gt;"))</f>
        <v/>
      </c>
      <c r="H278" s="4" t="str">
        <f t="shared" si="8"/>
        <v/>
      </c>
      <c r="I278" s="5" t="str">
        <f t="shared" si="9"/>
        <v/>
      </c>
    </row>
    <row r="279" spans="6:9" x14ac:dyDescent="0.2">
      <c r="F279" s="4" t="str">
        <f>IF(LEN(TRIM(A279))=0,"",COUNTIFS(Students!H:H, A279))</f>
        <v/>
      </c>
      <c r="G279" s="4" t="str">
        <f>IF(LEN(TRIM(A279))=0,"",COUNTIFS(Students!H:H, A279, Students!D:D, "&lt;&gt;"))</f>
        <v/>
      </c>
      <c r="H279" s="4" t="str">
        <f t="shared" si="8"/>
        <v/>
      </c>
      <c r="I279" s="5" t="str">
        <f t="shared" si="9"/>
        <v/>
      </c>
    </row>
    <row r="280" spans="6:9" x14ac:dyDescent="0.2">
      <c r="F280" s="4" t="str">
        <f>IF(LEN(TRIM(A280))=0,"",COUNTIFS(Students!H:H, A280))</f>
        <v/>
      </c>
      <c r="G280" s="4" t="str">
        <f>IF(LEN(TRIM(A280))=0,"",COUNTIFS(Students!H:H, A280, Students!D:D, "&lt;&gt;"))</f>
        <v/>
      </c>
      <c r="H280" s="4" t="str">
        <f t="shared" si="8"/>
        <v/>
      </c>
      <c r="I280" s="5" t="str">
        <f t="shared" si="9"/>
        <v/>
      </c>
    </row>
    <row r="281" spans="6:9" x14ac:dyDescent="0.2">
      <c r="F281" s="4" t="str">
        <f>IF(LEN(TRIM(A281))=0,"",COUNTIFS(Students!H:H, A281))</f>
        <v/>
      </c>
      <c r="G281" s="4" t="str">
        <f>IF(LEN(TRIM(A281))=0,"",COUNTIFS(Students!H:H, A281, Students!D:D, "&lt;&gt;"))</f>
        <v/>
      </c>
      <c r="H281" s="4" t="str">
        <f t="shared" si="8"/>
        <v/>
      </c>
      <c r="I281" s="5" t="str">
        <f t="shared" si="9"/>
        <v/>
      </c>
    </row>
    <row r="282" spans="6:9" x14ac:dyDescent="0.2">
      <c r="F282" s="4" t="str">
        <f>IF(LEN(TRIM(A282))=0,"",COUNTIFS(Students!H:H, A282))</f>
        <v/>
      </c>
      <c r="G282" s="4" t="str">
        <f>IF(LEN(TRIM(A282))=0,"",COUNTIFS(Students!H:H, A282, Students!D:D, "&lt;&gt;"))</f>
        <v/>
      </c>
      <c r="H282" s="4" t="str">
        <f t="shared" si="8"/>
        <v/>
      </c>
      <c r="I282" s="5" t="str">
        <f t="shared" si="9"/>
        <v/>
      </c>
    </row>
    <row r="283" spans="6:9" x14ac:dyDescent="0.2">
      <c r="F283" s="4" t="str">
        <f>IF(LEN(TRIM(A283))=0,"",COUNTIFS(Students!H:H, A283))</f>
        <v/>
      </c>
      <c r="G283" s="4" t="str">
        <f>IF(LEN(TRIM(A283))=0,"",COUNTIFS(Students!H:H, A283, Students!D:D, "&lt;&gt;"))</f>
        <v/>
      </c>
      <c r="H283" s="4" t="str">
        <f t="shared" si="8"/>
        <v/>
      </c>
      <c r="I283" s="5" t="str">
        <f t="shared" si="9"/>
        <v/>
      </c>
    </row>
    <row r="284" spans="6:9" x14ac:dyDescent="0.2">
      <c r="F284" s="4" t="str">
        <f>IF(LEN(TRIM(A284))=0,"",COUNTIFS(Students!H:H, A284))</f>
        <v/>
      </c>
      <c r="G284" s="4" t="str">
        <f>IF(LEN(TRIM(A284))=0,"",COUNTIFS(Students!H:H, A284, Students!D:D, "&lt;&gt;"))</f>
        <v/>
      </c>
      <c r="H284" s="4" t="str">
        <f t="shared" si="8"/>
        <v/>
      </c>
      <c r="I284" s="5" t="str">
        <f t="shared" si="9"/>
        <v/>
      </c>
    </row>
    <row r="285" spans="6:9" x14ac:dyDescent="0.2">
      <c r="F285" s="4" t="str">
        <f>IF(LEN(TRIM(A285))=0,"",COUNTIFS(Students!H:H, A285))</f>
        <v/>
      </c>
      <c r="G285" s="4" t="str">
        <f>IF(LEN(TRIM(A285))=0,"",COUNTIFS(Students!H:H, A285, Students!D:D, "&lt;&gt;"))</f>
        <v/>
      </c>
      <c r="H285" s="4" t="str">
        <f t="shared" si="8"/>
        <v/>
      </c>
      <c r="I285" s="5" t="str">
        <f t="shared" si="9"/>
        <v/>
      </c>
    </row>
    <row r="286" spans="6:9" x14ac:dyDescent="0.2">
      <c r="F286" s="4" t="str">
        <f>IF(LEN(TRIM(A286))=0,"",COUNTIFS(Students!H:H, A286))</f>
        <v/>
      </c>
      <c r="G286" s="4" t="str">
        <f>IF(LEN(TRIM(A286))=0,"",COUNTIFS(Students!H:H, A286, Students!D:D, "&lt;&gt;"))</f>
        <v/>
      </c>
      <c r="H286" s="4" t="str">
        <f t="shared" si="8"/>
        <v/>
      </c>
      <c r="I286" s="5" t="str">
        <f t="shared" si="9"/>
        <v/>
      </c>
    </row>
    <row r="287" spans="6:9" x14ac:dyDescent="0.2">
      <c r="F287" s="4" t="str">
        <f>IF(LEN(TRIM(A287))=0,"",COUNTIFS(Students!H:H, A287))</f>
        <v/>
      </c>
      <c r="G287" s="4" t="str">
        <f>IF(LEN(TRIM(A287))=0,"",COUNTIFS(Students!H:H, A287, Students!D:D, "&lt;&gt;"))</f>
        <v/>
      </c>
      <c r="H287" s="4" t="str">
        <f t="shared" si="8"/>
        <v/>
      </c>
      <c r="I287" s="5" t="str">
        <f t="shared" si="9"/>
        <v/>
      </c>
    </row>
    <row r="288" spans="6:9" x14ac:dyDescent="0.2">
      <c r="F288" s="4" t="str">
        <f>IF(LEN(TRIM(A288))=0,"",COUNTIFS(Students!H:H, A288))</f>
        <v/>
      </c>
      <c r="G288" s="4" t="str">
        <f>IF(LEN(TRIM(A288))=0,"",COUNTIFS(Students!H:H, A288, Students!D:D, "&lt;&gt;"))</f>
        <v/>
      </c>
      <c r="H288" s="4" t="str">
        <f t="shared" si="8"/>
        <v/>
      </c>
      <c r="I288" s="5" t="str">
        <f t="shared" si="9"/>
        <v/>
      </c>
    </row>
    <row r="289" spans="6:9" x14ac:dyDescent="0.2">
      <c r="F289" s="4" t="str">
        <f>IF(LEN(TRIM(A289))=0,"",COUNTIFS(Students!H:H, A289))</f>
        <v/>
      </c>
      <c r="G289" s="4" t="str">
        <f>IF(LEN(TRIM(A289))=0,"",COUNTIFS(Students!H:H, A289, Students!D:D, "&lt;&gt;"))</f>
        <v/>
      </c>
      <c r="H289" s="4" t="str">
        <f t="shared" si="8"/>
        <v/>
      </c>
      <c r="I289" s="5" t="str">
        <f t="shared" si="9"/>
        <v/>
      </c>
    </row>
    <row r="290" spans="6:9" x14ac:dyDescent="0.2">
      <c r="F290" s="4" t="str">
        <f>IF(LEN(TRIM(A290))=0,"",COUNTIFS(Students!H:H, A290))</f>
        <v/>
      </c>
      <c r="G290" s="4" t="str">
        <f>IF(LEN(TRIM(A290))=0,"",COUNTIFS(Students!H:H, A290, Students!D:D, "&lt;&gt;"))</f>
        <v/>
      </c>
      <c r="H290" s="4" t="str">
        <f t="shared" si="8"/>
        <v/>
      </c>
      <c r="I290" s="5" t="str">
        <f t="shared" si="9"/>
        <v/>
      </c>
    </row>
    <row r="291" spans="6:9" x14ac:dyDescent="0.2">
      <c r="F291" s="4" t="str">
        <f>IF(LEN(TRIM(A291))=0,"",COUNTIFS(Students!H:H, A291))</f>
        <v/>
      </c>
      <c r="G291" s="4" t="str">
        <f>IF(LEN(TRIM(A291))=0,"",COUNTIFS(Students!H:H, A291, Students!D:D, "&lt;&gt;"))</f>
        <v/>
      </c>
      <c r="H291" s="4" t="str">
        <f t="shared" si="8"/>
        <v/>
      </c>
      <c r="I291" s="5" t="str">
        <f t="shared" si="9"/>
        <v/>
      </c>
    </row>
    <row r="292" spans="6:9" x14ac:dyDescent="0.2">
      <c r="F292" s="4" t="str">
        <f>IF(LEN(TRIM(A292))=0,"",COUNTIFS(Students!H:H, A292))</f>
        <v/>
      </c>
      <c r="G292" s="4" t="str">
        <f>IF(LEN(TRIM(A292))=0,"",COUNTIFS(Students!H:H, A292, Students!D:D, "&lt;&gt;"))</f>
        <v/>
      </c>
      <c r="H292" s="4" t="str">
        <f t="shared" si="8"/>
        <v/>
      </c>
      <c r="I292" s="5" t="str">
        <f t="shared" si="9"/>
        <v/>
      </c>
    </row>
    <row r="293" spans="6:9" x14ac:dyDescent="0.2">
      <c r="F293" s="4" t="str">
        <f>IF(LEN(TRIM(A293))=0,"",COUNTIFS(Students!H:H, A293))</f>
        <v/>
      </c>
      <c r="G293" s="4" t="str">
        <f>IF(LEN(TRIM(A293))=0,"",COUNTIFS(Students!H:H, A293, Students!D:D, "&lt;&gt;"))</f>
        <v/>
      </c>
      <c r="H293" s="4" t="str">
        <f t="shared" si="8"/>
        <v/>
      </c>
      <c r="I293" s="5" t="str">
        <f t="shared" si="9"/>
        <v/>
      </c>
    </row>
    <row r="294" spans="6:9" x14ac:dyDescent="0.2">
      <c r="F294" s="4" t="str">
        <f>IF(LEN(TRIM(A294))=0,"",COUNTIFS(Students!H:H, A294))</f>
        <v/>
      </c>
      <c r="G294" s="4" t="str">
        <f>IF(LEN(TRIM(A294))=0,"",COUNTIFS(Students!H:H, A294, Students!D:D, "&lt;&gt;"))</f>
        <v/>
      </c>
      <c r="H294" s="4" t="str">
        <f t="shared" si="8"/>
        <v/>
      </c>
      <c r="I294" s="5" t="str">
        <f t="shared" si="9"/>
        <v/>
      </c>
    </row>
    <row r="295" spans="6:9" x14ac:dyDescent="0.2">
      <c r="F295" s="4" t="str">
        <f>IF(LEN(TRIM(A295))=0,"",COUNTIFS(Students!H:H, A295))</f>
        <v/>
      </c>
      <c r="G295" s="4" t="str">
        <f>IF(LEN(TRIM(A295))=0,"",COUNTIFS(Students!H:H, A295, Students!D:D, "&lt;&gt;"))</f>
        <v/>
      </c>
      <c r="H295" s="4" t="str">
        <f t="shared" si="8"/>
        <v/>
      </c>
      <c r="I295" s="5" t="str">
        <f t="shared" si="9"/>
        <v/>
      </c>
    </row>
    <row r="296" spans="6:9" x14ac:dyDescent="0.2">
      <c r="F296" s="4" t="str">
        <f>IF(LEN(TRIM(A296))=0,"",COUNTIFS(Students!H:H, A296))</f>
        <v/>
      </c>
      <c r="G296" s="4" t="str">
        <f>IF(LEN(TRIM(A296))=0,"",COUNTIFS(Students!H:H, A296, Students!D:D, "&lt;&gt;"))</f>
        <v/>
      </c>
      <c r="H296" s="4" t="str">
        <f t="shared" si="8"/>
        <v/>
      </c>
      <c r="I296" s="5" t="str">
        <f t="shared" si="9"/>
        <v/>
      </c>
    </row>
    <row r="297" spans="6:9" x14ac:dyDescent="0.2">
      <c r="F297" s="4" t="str">
        <f>IF(LEN(TRIM(A297))=0,"",COUNTIFS(Students!H:H, A297))</f>
        <v/>
      </c>
      <c r="G297" s="4" t="str">
        <f>IF(LEN(TRIM(A297))=0,"",COUNTIFS(Students!H:H, A297, Students!D:D, "&lt;&gt;"))</f>
        <v/>
      </c>
      <c r="H297" s="4" t="str">
        <f t="shared" si="8"/>
        <v/>
      </c>
      <c r="I297" s="5" t="str">
        <f t="shared" si="9"/>
        <v/>
      </c>
    </row>
    <row r="298" spans="6:9" x14ac:dyDescent="0.2">
      <c r="F298" s="4" t="str">
        <f>IF(LEN(TRIM(A298))=0,"",COUNTIFS(Students!H:H, A298))</f>
        <v/>
      </c>
      <c r="G298" s="4" t="str">
        <f>IF(LEN(TRIM(A298))=0,"",COUNTIFS(Students!H:H, A298, Students!D:D, "&lt;&gt;"))</f>
        <v/>
      </c>
      <c r="H298" s="4" t="str">
        <f t="shared" si="8"/>
        <v/>
      </c>
      <c r="I298" s="5" t="str">
        <f t="shared" si="9"/>
        <v/>
      </c>
    </row>
    <row r="299" spans="6:9" x14ac:dyDescent="0.2">
      <c r="F299" s="4" t="str">
        <f>IF(LEN(TRIM(A299))=0,"",COUNTIFS(Students!H:H, A299))</f>
        <v/>
      </c>
      <c r="G299" s="4" t="str">
        <f>IF(LEN(TRIM(A299))=0,"",COUNTIFS(Students!H:H, A299, Students!D:D, "&lt;&gt;"))</f>
        <v/>
      </c>
      <c r="H299" s="4" t="str">
        <f t="shared" si="8"/>
        <v/>
      </c>
      <c r="I299" s="5" t="str">
        <f t="shared" si="9"/>
        <v/>
      </c>
    </row>
    <row r="300" spans="6:9" x14ac:dyDescent="0.2">
      <c r="F300" s="4" t="str">
        <f>IF(LEN(TRIM(A300))=0,"",COUNTIFS(Students!H:H, A300))</f>
        <v/>
      </c>
      <c r="G300" s="4" t="str">
        <f>IF(LEN(TRIM(A300))=0,"",COUNTIFS(Students!H:H, A300, Students!D:D, "&lt;&gt;"))</f>
        <v/>
      </c>
      <c r="H300" s="4" t="str">
        <f t="shared" si="8"/>
        <v/>
      </c>
      <c r="I300" s="5" t="str">
        <f t="shared" si="9"/>
        <v/>
      </c>
    </row>
    <row r="301" spans="6:9" x14ac:dyDescent="0.2">
      <c r="F301" s="4" t="str">
        <f>IF(LEN(TRIM(A301))=0,"",COUNTIFS(Students!H:H, A301))</f>
        <v/>
      </c>
      <c r="G301" s="4" t="str">
        <f>IF(LEN(TRIM(A301))=0,"",COUNTIFS(Students!H:H, A301, Students!D:D, "&lt;&gt;"))</f>
        <v/>
      </c>
      <c r="H301" s="4" t="str">
        <f t="shared" si="8"/>
        <v/>
      </c>
      <c r="I301" s="5" t="str">
        <f t="shared" si="9"/>
        <v/>
      </c>
    </row>
    <row r="302" spans="6:9" x14ac:dyDescent="0.2">
      <c r="F302" s="4" t="str">
        <f>IF(LEN(TRIM(A302))=0,"",COUNTIFS(Students!H:H, A302))</f>
        <v/>
      </c>
      <c r="G302" s="4" t="str">
        <f>IF(LEN(TRIM(A302))=0,"",COUNTIFS(Students!H:H, A302, Students!D:D, "&lt;&gt;"))</f>
        <v/>
      </c>
      <c r="H302" s="4" t="str">
        <f t="shared" si="8"/>
        <v/>
      </c>
      <c r="I302" s="5" t="str">
        <f t="shared" si="9"/>
        <v/>
      </c>
    </row>
    <row r="303" spans="6:9" x14ac:dyDescent="0.2">
      <c r="F303" s="4" t="str">
        <f>IF(LEN(TRIM(A303))=0,"",COUNTIFS(Students!H:H, A303))</f>
        <v/>
      </c>
      <c r="G303" s="4" t="str">
        <f>IF(LEN(TRIM(A303))=0,"",COUNTIFS(Students!H:H, A303, Students!D:D, "&lt;&gt;"))</f>
        <v/>
      </c>
      <c r="H303" s="4" t="str">
        <f t="shared" si="8"/>
        <v/>
      </c>
      <c r="I303" s="5" t="str">
        <f t="shared" si="9"/>
        <v/>
      </c>
    </row>
    <row r="304" spans="6:9" x14ac:dyDescent="0.2">
      <c r="F304" s="4" t="str">
        <f>IF(LEN(TRIM(A304))=0,"",COUNTIFS(Students!H:H, A304))</f>
        <v/>
      </c>
      <c r="G304" s="4" t="str">
        <f>IF(LEN(TRIM(A304))=0,"",COUNTIFS(Students!H:H, A304, Students!D:D, "&lt;&gt;"))</f>
        <v/>
      </c>
      <c r="H304" s="4" t="str">
        <f t="shared" si="8"/>
        <v/>
      </c>
      <c r="I304" s="5" t="str">
        <f t="shared" si="9"/>
        <v/>
      </c>
    </row>
    <row r="305" spans="6:9" x14ac:dyDescent="0.2">
      <c r="F305" s="4" t="str">
        <f>IF(LEN(TRIM(A305))=0,"",COUNTIFS(Students!H:H, A305))</f>
        <v/>
      </c>
      <c r="G305" s="4" t="str">
        <f>IF(LEN(TRIM(A305))=0,"",COUNTIFS(Students!H:H, A305, Students!D:D, "&lt;&gt;"))</f>
        <v/>
      </c>
      <c r="H305" s="4" t="str">
        <f t="shared" si="8"/>
        <v/>
      </c>
      <c r="I305" s="5" t="str">
        <f t="shared" si="9"/>
        <v/>
      </c>
    </row>
    <row r="306" spans="6:9" x14ac:dyDescent="0.2">
      <c r="F306" s="4" t="str">
        <f>IF(LEN(TRIM(A306))=0,"",COUNTIFS(Students!H:H, A306))</f>
        <v/>
      </c>
      <c r="G306" s="4" t="str">
        <f>IF(LEN(TRIM(A306))=0,"",COUNTIFS(Students!H:H, A306, Students!D:D, "&lt;&gt;"))</f>
        <v/>
      </c>
      <c r="H306" s="4" t="str">
        <f t="shared" si="8"/>
        <v/>
      </c>
      <c r="I306" s="5" t="str">
        <f t="shared" si="9"/>
        <v/>
      </c>
    </row>
    <row r="307" spans="6:9" x14ac:dyDescent="0.2">
      <c r="F307" s="4" t="str">
        <f>IF(LEN(TRIM(A307))=0,"",COUNTIFS(Students!H:H, A307))</f>
        <v/>
      </c>
      <c r="G307" s="4" t="str">
        <f>IF(LEN(TRIM(A307))=0,"",COUNTIFS(Students!H:H, A307, Students!D:D, "&lt;&gt;"))</f>
        <v/>
      </c>
      <c r="H307" s="4" t="str">
        <f t="shared" si="8"/>
        <v/>
      </c>
      <c r="I307" s="5" t="str">
        <f t="shared" si="9"/>
        <v/>
      </c>
    </row>
    <row r="308" spans="6:9" x14ac:dyDescent="0.2">
      <c r="F308" s="4" t="str">
        <f>IF(LEN(TRIM(A308))=0,"",COUNTIFS(Students!H:H, A308))</f>
        <v/>
      </c>
      <c r="G308" s="4" t="str">
        <f>IF(LEN(TRIM(A308))=0,"",COUNTIFS(Students!H:H, A308, Students!D:D, "&lt;&gt;"))</f>
        <v/>
      </c>
      <c r="H308" s="4" t="str">
        <f t="shared" si="8"/>
        <v/>
      </c>
      <c r="I308" s="5" t="str">
        <f t="shared" si="9"/>
        <v/>
      </c>
    </row>
    <row r="309" spans="6:9" x14ac:dyDescent="0.2">
      <c r="F309" s="4" t="str">
        <f>IF(LEN(TRIM(A309))=0,"",COUNTIFS(Students!H:H, A309))</f>
        <v/>
      </c>
      <c r="G309" s="4" t="str">
        <f>IF(LEN(TRIM(A309))=0,"",COUNTIFS(Students!H:H, A309, Students!D:D, "&lt;&gt;"))</f>
        <v/>
      </c>
      <c r="H309" s="4" t="str">
        <f t="shared" si="8"/>
        <v/>
      </c>
      <c r="I309" s="5" t="str">
        <f t="shared" si="9"/>
        <v/>
      </c>
    </row>
    <row r="310" spans="6:9" x14ac:dyDescent="0.2">
      <c r="F310" s="4" t="str">
        <f>IF(LEN(TRIM(A310))=0,"",COUNTIFS(Students!H:H, A310))</f>
        <v/>
      </c>
      <c r="G310" s="4" t="str">
        <f>IF(LEN(TRIM(A310))=0,"",COUNTIFS(Students!H:H, A310, Students!D:D, "&lt;&gt;"))</f>
        <v/>
      </c>
      <c r="H310" s="4" t="str">
        <f t="shared" si="8"/>
        <v/>
      </c>
      <c r="I310" s="5" t="str">
        <f t="shared" si="9"/>
        <v/>
      </c>
    </row>
    <row r="311" spans="6:9" x14ac:dyDescent="0.2">
      <c r="F311" s="4" t="str">
        <f>IF(LEN(TRIM(A311))=0,"",COUNTIFS(Students!H:H, A311))</f>
        <v/>
      </c>
      <c r="G311" s="4" t="str">
        <f>IF(LEN(TRIM(A311))=0,"",COUNTIFS(Students!H:H, A311, Students!D:D, "&lt;&gt;"))</f>
        <v/>
      </c>
      <c r="H311" s="4" t="str">
        <f t="shared" si="8"/>
        <v/>
      </c>
      <c r="I311" s="5" t="str">
        <f t="shared" si="9"/>
        <v/>
      </c>
    </row>
    <row r="312" spans="6:9" x14ac:dyDescent="0.2">
      <c r="F312" s="4" t="str">
        <f>IF(LEN(TRIM(A312))=0,"",COUNTIFS(Students!H:H, A312))</f>
        <v/>
      </c>
      <c r="G312" s="4" t="str">
        <f>IF(LEN(TRIM(A312))=0,"",COUNTIFS(Students!H:H, A312, Students!D:D, "&lt;&gt;"))</f>
        <v/>
      </c>
      <c r="H312" s="4" t="str">
        <f t="shared" si="8"/>
        <v/>
      </c>
      <c r="I312" s="5" t="str">
        <f t="shared" si="9"/>
        <v/>
      </c>
    </row>
    <row r="313" spans="6:9" x14ac:dyDescent="0.2">
      <c r="F313" s="4" t="str">
        <f>IF(LEN(TRIM(A313))=0,"",COUNTIFS(Students!H:H, A313))</f>
        <v/>
      </c>
      <c r="G313" s="4" t="str">
        <f>IF(LEN(TRIM(A313))=0,"",COUNTIFS(Students!H:H, A313, Students!D:D, "&lt;&gt;"))</f>
        <v/>
      </c>
      <c r="H313" s="4" t="str">
        <f t="shared" si="8"/>
        <v/>
      </c>
      <c r="I313" s="5" t="str">
        <f t="shared" si="9"/>
        <v/>
      </c>
    </row>
    <row r="314" spans="6:9" x14ac:dyDescent="0.2">
      <c r="F314" s="4" t="str">
        <f>IF(LEN(TRIM(A314))=0,"",COUNTIFS(Students!H:H, A314))</f>
        <v/>
      </c>
      <c r="G314" s="4" t="str">
        <f>IF(LEN(TRIM(A314))=0,"",COUNTIFS(Students!H:H, A314, Students!D:D, "&lt;&gt;"))</f>
        <v/>
      </c>
      <c r="H314" s="4" t="str">
        <f t="shared" si="8"/>
        <v/>
      </c>
      <c r="I314" s="5" t="str">
        <f t="shared" si="9"/>
        <v/>
      </c>
    </row>
    <row r="315" spans="6:9" x14ac:dyDescent="0.2">
      <c r="F315" s="4" t="str">
        <f>IF(LEN(TRIM(A315))=0,"",COUNTIFS(Students!H:H, A315))</f>
        <v/>
      </c>
      <c r="G315" s="4" t="str">
        <f>IF(LEN(TRIM(A315))=0,"",COUNTIFS(Students!H:H, A315, Students!D:D, "&lt;&gt;"))</f>
        <v/>
      </c>
      <c r="H315" s="4" t="str">
        <f t="shared" si="8"/>
        <v/>
      </c>
      <c r="I315" s="5" t="str">
        <f t="shared" si="9"/>
        <v/>
      </c>
    </row>
    <row r="316" spans="6:9" x14ac:dyDescent="0.2">
      <c r="F316" s="4" t="str">
        <f>IF(LEN(TRIM(A316))=0,"",COUNTIFS(Students!H:H, A316))</f>
        <v/>
      </c>
      <c r="G316" s="4" t="str">
        <f>IF(LEN(TRIM(A316))=0,"",COUNTIFS(Students!H:H, A316, Students!D:D, "&lt;&gt;"))</f>
        <v/>
      </c>
      <c r="H316" s="4" t="str">
        <f t="shared" si="8"/>
        <v/>
      </c>
      <c r="I316" s="5" t="str">
        <f t="shared" si="9"/>
        <v/>
      </c>
    </row>
    <row r="317" spans="6:9" x14ac:dyDescent="0.2">
      <c r="F317" s="4" t="str">
        <f>IF(LEN(TRIM(A317))=0,"",COUNTIFS(Students!H:H, A317))</f>
        <v/>
      </c>
      <c r="G317" s="4" t="str">
        <f>IF(LEN(TRIM(A317))=0,"",COUNTIFS(Students!H:H, A317, Students!D:D, "&lt;&gt;"))</f>
        <v/>
      </c>
      <c r="H317" s="4" t="str">
        <f t="shared" si="8"/>
        <v/>
      </c>
      <c r="I317" s="5" t="str">
        <f t="shared" si="9"/>
        <v/>
      </c>
    </row>
    <row r="318" spans="6:9" x14ac:dyDescent="0.2">
      <c r="F318" s="4" t="str">
        <f>IF(LEN(TRIM(A318))=0,"",COUNTIFS(Students!H:H, A318))</f>
        <v/>
      </c>
      <c r="G318" s="4" t="str">
        <f>IF(LEN(TRIM(A318))=0,"",COUNTIFS(Students!H:H, A318, Students!D:D, "&lt;&gt;"))</f>
        <v/>
      </c>
      <c r="H318" s="4" t="str">
        <f t="shared" si="8"/>
        <v/>
      </c>
      <c r="I318" s="5" t="str">
        <f t="shared" si="9"/>
        <v/>
      </c>
    </row>
    <row r="319" spans="6:9" x14ac:dyDescent="0.2">
      <c r="F319" s="4" t="str">
        <f>IF(LEN(TRIM(A319))=0,"",COUNTIFS(Students!H:H, A319))</f>
        <v/>
      </c>
      <c r="G319" s="4" t="str">
        <f>IF(LEN(TRIM(A319))=0,"",COUNTIFS(Students!H:H, A319, Students!D:D, "&lt;&gt;"))</f>
        <v/>
      </c>
      <c r="H319" s="4" t="str">
        <f t="shared" si="8"/>
        <v/>
      </c>
      <c r="I319" s="5" t="str">
        <f t="shared" si="9"/>
        <v/>
      </c>
    </row>
    <row r="320" spans="6:9" x14ac:dyDescent="0.2">
      <c r="F320" s="4" t="str">
        <f>IF(LEN(TRIM(A320))=0,"",COUNTIFS(Students!H:H, A320))</f>
        <v/>
      </c>
      <c r="G320" s="4" t="str">
        <f>IF(LEN(TRIM(A320))=0,"",COUNTIFS(Students!H:H, A320, Students!D:D, "&lt;&gt;"))</f>
        <v/>
      </c>
      <c r="H320" s="4" t="str">
        <f t="shared" si="8"/>
        <v/>
      </c>
      <c r="I320" s="5" t="str">
        <f t="shared" si="9"/>
        <v/>
      </c>
    </row>
    <row r="321" spans="6:9" x14ac:dyDescent="0.2">
      <c r="F321" s="4" t="str">
        <f>IF(LEN(TRIM(A321))=0,"",COUNTIFS(Students!H:H, A321))</f>
        <v/>
      </c>
      <c r="G321" s="4" t="str">
        <f>IF(LEN(TRIM(A321))=0,"",COUNTIFS(Students!H:H, A321, Students!D:D, "&lt;&gt;"))</f>
        <v/>
      </c>
      <c r="H321" s="4" t="str">
        <f t="shared" si="8"/>
        <v/>
      </c>
      <c r="I321" s="5" t="str">
        <f t="shared" si="9"/>
        <v/>
      </c>
    </row>
    <row r="322" spans="6:9" x14ac:dyDescent="0.2">
      <c r="F322" s="4" t="str">
        <f>IF(LEN(TRIM(A322))=0,"",COUNTIFS(Students!H:H, A322))</f>
        <v/>
      </c>
      <c r="G322" s="4" t="str">
        <f>IF(LEN(TRIM(A322))=0,"",COUNTIFS(Students!H:H, A322, Students!D:D, "&lt;&gt;"))</f>
        <v/>
      </c>
      <c r="H322" s="4" t="str">
        <f t="shared" si="8"/>
        <v/>
      </c>
      <c r="I322" s="5" t="str">
        <f t="shared" si="9"/>
        <v/>
      </c>
    </row>
    <row r="323" spans="6:9" x14ac:dyDescent="0.2">
      <c r="F323" s="4" t="str">
        <f>IF(LEN(TRIM(A323))=0,"",COUNTIFS(Students!H:H, A323))</f>
        <v/>
      </c>
      <c r="G323" s="4" t="str">
        <f>IF(LEN(TRIM(A323))=0,"",COUNTIFS(Students!H:H, A323, Students!D:D, "&lt;&gt;"))</f>
        <v/>
      </c>
      <c r="H323" s="4" t="str">
        <f t="shared" ref="H323:H386" si="10">IFERROR(F323-G323,"")</f>
        <v/>
      </c>
      <c r="I323" s="5" t="str">
        <f t="shared" ref="I323:I386" si="11">IFERROR(IF(F323=0, "N/A", G323/F323),"")</f>
        <v/>
      </c>
    </row>
    <row r="324" spans="6:9" x14ac:dyDescent="0.2">
      <c r="F324" s="4" t="str">
        <f>IF(LEN(TRIM(A324))=0,"",COUNTIFS(Students!H:H, A324))</f>
        <v/>
      </c>
      <c r="G324" s="4" t="str">
        <f>IF(LEN(TRIM(A324))=0,"",COUNTIFS(Students!H:H, A324, Students!D:D, "&lt;&gt;"))</f>
        <v/>
      </c>
      <c r="H324" s="4" t="str">
        <f t="shared" si="10"/>
        <v/>
      </c>
      <c r="I324" s="5" t="str">
        <f t="shared" si="11"/>
        <v/>
      </c>
    </row>
    <row r="325" spans="6:9" x14ac:dyDescent="0.2">
      <c r="F325" s="4" t="str">
        <f>IF(LEN(TRIM(A325))=0,"",COUNTIFS(Students!H:H, A325))</f>
        <v/>
      </c>
      <c r="G325" s="4" t="str">
        <f>IF(LEN(TRIM(A325))=0,"",COUNTIFS(Students!H:H, A325, Students!D:D, "&lt;&gt;"))</f>
        <v/>
      </c>
      <c r="H325" s="4" t="str">
        <f t="shared" si="10"/>
        <v/>
      </c>
      <c r="I325" s="5" t="str">
        <f t="shared" si="11"/>
        <v/>
      </c>
    </row>
    <row r="326" spans="6:9" x14ac:dyDescent="0.2">
      <c r="F326" s="4" t="str">
        <f>IF(LEN(TRIM(A326))=0,"",COUNTIFS(Students!H:H, A326))</f>
        <v/>
      </c>
      <c r="G326" s="4" t="str">
        <f>IF(LEN(TRIM(A326))=0,"",COUNTIFS(Students!H:H, A326, Students!D:D, "&lt;&gt;"))</f>
        <v/>
      </c>
      <c r="H326" s="4" t="str">
        <f t="shared" si="10"/>
        <v/>
      </c>
      <c r="I326" s="5" t="str">
        <f t="shared" si="11"/>
        <v/>
      </c>
    </row>
    <row r="327" spans="6:9" x14ac:dyDescent="0.2">
      <c r="F327" s="4" t="str">
        <f>IF(LEN(TRIM(A327))=0,"",COUNTIFS(Students!H:H, A327))</f>
        <v/>
      </c>
      <c r="G327" s="4" t="str">
        <f>IF(LEN(TRIM(A327))=0,"",COUNTIFS(Students!H:H, A327, Students!D:D, "&lt;&gt;"))</f>
        <v/>
      </c>
      <c r="H327" s="4" t="str">
        <f t="shared" si="10"/>
        <v/>
      </c>
      <c r="I327" s="5" t="str">
        <f t="shared" si="11"/>
        <v/>
      </c>
    </row>
    <row r="328" spans="6:9" x14ac:dyDescent="0.2">
      <c r="F328" s="4" t="str">
        <f>IF(LEN(TRIM(A328))=0,"",COUNTIFS(Students!H:H, A328))</f>
        <v/>
      </c>
      <c r="G328" s="4" t="str">
        <f>IF(LEN(TRIM(A328))=0,"",COUNTIFS(Students!H:H, A328, Students!D:D, "&lt;&gt;"))</f>
        <v/>
      </c>
      <c r="H328" s="4" t="str">
        <f t="shared" si="10"/>
        <v/>
      </c>
      <c r="I328" s="5" t="str">
        <f t="shared" si="11"/>
        <v/>
      </c>
    </row>
    <row r="329" spans="6:9" x14ac:dyDescent="0.2">
      <c r="F329" s="4" t="str">
        <f>IF(LEN(TRIM(A329))=0,"",COUNTIFS(Students!H:H, A329))</f>
        <v/>
      </c>
      <c r="G329" s="4" t="str">
        <f>IF(LEN(TRIM(A329))=0,"",COUNTIFS(Students!H:H, A329, Students!D:D, "&lt;&gt;"))</f>
        <v/>
      </c>
      <c r="H329" s="4" t="str">
        <f t="shared" si="10"/>
        <v/>
      </c>
      <c r="I329" s="5" t="str">
        <f t="shared" si="11"/>
        <v/>
      </c>
    </row>
    <row r="330" spans="6:9" x14ac:dyDescent="0.2">
      <c r="F330" s="4" t="str">
        <f>IF(LEN(TRIM(A330))=0,"",COUNTIFS(Students!H:H, A330))</f>
        <v/>
      </c>
      <c r="G330" s="4" t="str">
        <f>IF(LEN(TRIM(A330))=0,"",COUNTIFS(Students!H:H, A330, Students!D:D, "&lt;&gt;"))</f>
        <v/>
      </c>
      <c r="H330" s="4" t="str">
        <f t="shared" si="10"/>
        <v/>
      </c>
      <c r="I330" s="5" t="str">
        <f t="shared" si="11"/>
        <v/>
      </c>
    </row>
    <row r="331" spans="6:9" x14ac:dyDescent="0.2">
      <c r="F331" s="4" t="str">
        <f>IF(LEN(TRIM(A331))=0,"",COUNTIFS(Students!H:H, A331))</f>
        <v/>
      </c>
      <c r="G331" s="4" t="str">
        <f>IF(LEN(TRIM(A331))=0,"",COUNTIFS(Students!H:H, A331, Students!D:D, "&lt;&gt;"))</f>
        <v/>
      </c>
      <c r="H331" s="4" t="str">
        <f t="shared" si="10"/>
        <v/>
      </c>
      <c r="I331" s="5" t="str">
        <f t="shared" si="11"/>
        <v/>
      </c>
    </row>
    <row r="332" spans="6:9" x14ac:dyDescent="0.2">
      <c r="F332" s="4" t="str">
        <f>IF(LEN(TRIM(A332))=0,"",COUNTIFS(Students!H:H, A332))</f>
        <v/>
      </c>
      <c r="G332" s="4" t="str">
        <f>IF(LEN(TRIM(A332))=0,"",COUNTIFS(Students!H:H, A332, Students!D:D, "&lt;&gt;"))</f>
        <v/>
      </c>
      <c r="H332" s="4" t="str">
        <f t="shared" si="10"/>
        <v/>
      </c>
      <c r="I332" s="5" t="str">
        <f t="shared" si="11"/>
        <v/>
      </c>
    </row>
    <row r="333" spans="6:9" x14ac:dyDescent="0.2">
      <c r="F333" s="4" t="str">
        <f>IF(LEN(TRIM(A333))=0,"",COUNTIFS(Students!H:H, A333))</f>
        <v/>
      </c>
      <c r="G333" s="4" t="str">
        <f>IF(LEN(TRIM(A333))=0,"",COUNTIFS(Students!H:H, A333, Students!D:D, "&lt;&gt;"))</f>
        <v/>
      </c>
      <c r="H333" s="4" t="str">
        <f t="shared" si="10"/>
        <v/>
      </c>
      <c r="I333" s="5" t="str">
        <f t="shared" si="11"/>
        <v/>
      </c>
    </row>
    <row r="334" spans="6:9" x14ac:dyDescent="0.2">
      <c r="F334" s="4" t="str">
        <f>IF(LEN(TRIM(A334))=0,"",COUNTIFS(Students!H:H, A334))</f>
        <v/>
      </c>
      <c r="G334" s="4" t="str">
        <f>IF(LEN(TRIM(A334))=0,"",COUNTIFS(Students!H:H, A334, Students!D:D, "&lt;&gt;"))</f>
        <v/>
      </c>
      <c r="H334" s="4" t="str">
        <f t="shared" si="10"/>
        <v/>
      </c>
      <c r="I334" s="5" t="str">
        <f t="shared" si="11"/>
        <v/>
      </c>
    </row>
    <row r="335" spans="6:9" x14ac:dyDescent="0.2">
      <c r="F335" s="4" t="str">
        <f>IF(LEN(TRIM(A335))=0,"",COUNTIFS(Students!H:H, A335))</f>
        <v/>
      </c>
      <c r="G335" s="4" t="str">
        <f>IF(LEN(TRIM(A335))=0,"",COUNTIFS(Students!H:H, A335, Students!D:D, "&lt;&gt;"))</f>
        <v/>
      </c>
      <c r="H335" s="4" t="str">
        <f t="shared" si="10"/>
        <v/>
      </c>
      <c r="I335" s="5" t="str">
        <f t="shared" si="11"/>
        <v/>
      </c>
    </row>
    <row r="336" spans="6:9" x14ac:dyDescent="0.2">
      <c r="F336" s="4" t="str">
        <f>IF(LEN(TRIM(A336))=0,"",COUNTIFS(Students!H:H, A336))</f>
        <v/>
      </c>
      <c r="G336" s="4" t="str">
        <f>IF(LEN(TRIM(A336))=0,"",COUNTIFS(Students!H:H, A336, Students!D:D, "&lt;&gt;"))</f>
        <v/>
      </c>
      <c r="H336" s="4" t="str">
        <f t="shared" si="10"/>
        <v/>
      </c>
      <c r="I336" s="5" t="str">
        <f t="shared" si="11"/>
        <v/>
      </c>
    </row>
    <row r="337" spans="6:9" x14ac:dyDescent="0.2">
      <c r="F337" s="4" t="str">
        <f>IF(LEN(TRIM(A337))=0,"",COUNTIFS(Students!H:H, A337))</f>
        <v/>
      </c>
      <c r="G337" s="4" t="str">
        <f>IF(LEN(TRIM(A337))=0,"",COUNTIFS(Students!H:H, A337, Students!D:D, "&lt;&gt;"))</f>
        <v/>
      </c>
      <c r="H337" s="4" t="str">
        <f t="shared" si="10"/>
        <v/>
      </c>
      <c r="I337" s="5" t="str">
        <f t="shared" si="11"/>
        <v/>
      </c>
    </row>
    <row r="338" spans="6:9" x14ac:dyDescent="0.2">
      <c r="F338" s="4" t="str">
        <f>IF(LEN(TRIM(A338))=0,"",COUNTIFS(Students!H:H, A338))</f>
        <v/>
      </c>
      <c r="G338" s="4" t="str">
        <f>IF(LEN(TRIM(A338))=0,"",COUNTIFS(Students!H:H, A338, Students!D:D, "&lt;&gt;"))</f>
        <v/>
      </c>
      <c r="H338" s="4" t="str">
        <f t="shared" si="10"/>
        <v/>
      </c>
      <c r="I338" s="5" t="str">
        <f t="shared" si="11"/>
        <v/>
      </c>
    </row>
    <row r="339" spans="6:9" x14ac:dyDescent="0.2">
      <c r="F339" s="4" t="str">
        <f>IF(LEN(TRIM(A339))=0,"",COUNTIFS(Students!H:H, A339))</f>
        <v/>
      </c>
      <c r="G339" s="4" t="str">
        <f>IF(LEN(TRIM(A339))=0,"",COUNTIFS(Students!H:H, A339, Students!D:D, "&lt;&gt;"))</f>
        <v/>
      </c>
      <c r="H339" s="4" t="str">
        <f t="shared" si="10"/>
        <v/>
      </c>
      <c r="I339" s="5" t="str">
        <f t="shared" si="11"/>
        <v/>
      </c>
    </row>
    <row r="340" spans="6:9" x14ac:dyDescent="0.2">
      <c r="F340" s="4" t="str">
        <f>IF(LEN(TRIM(A340))=0,"",COUNTIFS(Students!H:H, A340))</f>
        <v/>
      </c>
      <c r="G340" s="4" t="str">
        <f>IF(LEN(TRIM(A340))=0,"",COUNTIFS(Students!H:H, A340, Students!D:D, "&lt;&gt;"))</f>
        <v/>
      </c>
      <c r="H340" s="4" t="str">
        <f t="shared" si="10"/>
        <v/>
      </c>
      <c r="I340" s="5" t="str">
        <f t="shared" si="11"/>
        <v/>
      </c>
    </row>
    <row r="341" spans="6:9" x14ac:dyDescent="0.2">
      <c r="F341" s="4" t="str">
        <f>IF(LEN(TRIM(A341))=0,"",COUNTIFS(Students!H:H, A341))</f>
        <v/>
      </c>
      <c r="G341" s="4" t="str">
        <f>IF(LEN(TRIM(A341))=0,"",COUNTIFS(Students!H:H, A341, Students!D:D, "&lt;&gt;"))</f>
        <v/>
      </c>
      <c r="H341" s="4" t="str">
        <f t="shared" si="10"/>
        <v/>
      </c>
      <c r="I341" s="5" t="str">
        <f t="shared" si="11"/>
        <v/>
      </c>
    </row>
    <row r="342" spans="6:9" x14ac:dyDescent="0.2">
      <c r="F342" s="4" t="str">
        <f>IF(LEN(TRIM(A342))=0,"",COUNTIFS(Students!H:H, A342))</f>
        <v/>
      </c>
      <c r="G342" s="4" t="str">
        <f>IF(LEN(TRIM(A342))=0,"",COUNTIFS(Students!H:H, A342, Students!D:D, "&lt;&gt;"))</f>
        <v/>
      </c>
      <c r="H342" s="4" t="str">
        <f t="shared" si="10"/>
        <v/>
      </c>
      <c r="I342" s="5" t="str">
        <f t="shared" si="11"/>
        <v/>
      </c>
    </row>
    <row r="343" spans="6:9" x14ac:dyDescent="0.2">
      <c r="F343" s="4" t="str">
        <f>IF(LEN(TRIM(A343))=0,"",COUNTIFS(Students!H:H, A343))</f>
        <v/>
      </c>
      <c r="G343" s="4" t="str">
        <f>IF(LEN(TRIM(A343))=0,"",COUNTIFS(Students!H:H, A343, Students!D:D, "&lt;&gt;"))</f>
        <v/>
      </c>
      <c r="H343" s="4" t="str">
        <f t="shared" si="10"/>
        <v/>
      </c>
      <c r="I343" s="5" t="str">
        <f t="shared" si="11"/>
        <v/>
      </c>
    </row>
    <row r="344" spans="6:9" x14ac:dyDescent="0.2">
      <c r="F344" s="4" t="str">
        <f>IF(LEN(TRIM(A344))=0,"",COUNTIFS(Students!H:H, A344))</f>
        <v/>
      </c>
      <c r="G344" s="4" t="str">
        <f>IF(LEN(TRIM(A344))=0,"",COUNTIFS(Students!H:H, A344, Students!D:D, "&lt;&gt;"))</f>
        <v/>
      </c>
      <c r="H344" s="4" t="str">
        <f t="shared" si="10"/>
        <v/>
      </c>
      <c r="I344" s="5" t="str">
        <f t="shared" si="11"/>
        <v/>
      </c>
    </row>
    <row r="345" spans="6:9" x14ac:dyDescent="0.2">
      <c r="F345" s="4" t="str">
        <f>IF(LEN(TRIM(A345))=0,"",COUNTIFS(Students!H:H, A345))</f>
        <v/>
      </c>
      <c r="G345" s="4" t="str">
        <f>IF(LEN(TRIM(A345))=0,"",COUNTIFS(Students!H:H, A345, Students!D:D, "&lt;&gt;"))</f>
        <v/>
      </c>
      <c r="H345" s="4" t="str">
        <f t="shared" si="10"/>
        <v/>
      </c>
      <c r="I345" s="5" t="str">
        <f t="shared" si="11"/>
        <v/>
      </c>
    </row>
    <row r="346" spans="6:9" x14ac:dyDescent="0.2">
      <c r="F346" s="4" t="str">
        <f>IF(LEN(TRIM(A346))=0,"",COUNTIFS(Students!H:H, A346))</f>
        <v/>
      </c>
      <c r="G346" s="4" t="str">
        <f>IF(LEN(TRIM(A346))=0,"",COUNTIFS(Students!H:H, A346, Students!D:D, "&lt;&gt;"))</f>
        <v/>
      </c>
      <c r="H346" s="4" t="str">
        <f t="shared" si="10"/>
        <v/>
      </c>
      <c r="I346" s="5" t="str">
        <f t="shared" si="11"/>
        <v/>
      </c>
    </row>
    <row r="347" spans="6:9" x14ac:dyDescent="0.2">
      <c r="F347" s="4" t="str">
        <f>IF(LEN(TRIM(A347))=0,"",COUNTIFS(Students!H:H, A347))</f>
        <v/>
      </c>
      <c r="G347" s="4" t="str">
        <f>IF(LEN(TRIM(A347))=0,"",COUNTIFS(Students!H:H, A347, Students!D:D, "&lt;&gt;"))</f>
        <v/>
      </c>
      <c r="H347" s="4" t="str">
        <f t="shared" si="10"/>
        <v/>
      </c>
      <c r="I347" s="5" t="str">
        <f t="shared" si="11"/>
        <v/>
      </c>
    </row>
    <row r="348" spans="6:9" x14ac:dyDescent="0.2">
      <c r="F348" s="4" t="str">
        <f>IF(LEN(TRIM(A348))=0,"",COUNTIFS(Students!H:H, A348))</f>
        <v/>
      </c>
      <c r="G348" s="4" t="str">
        <f>IF(LEN(TRIM(A348))=0,"",COUNTIFS(Students!H:H, A348, Students!D:D, "&lt;&gt;"))</f>
        <v/>
      </c>
      <c r="H348" s="4" t="str">
        <f t="shared" si="10"/>
        <v/>
      </c>
      <c r="I348" s="5" t="str">
        <f t="shared" si="11"/>
        <v/>
      </c>
    </row>
    <row r="349" spans="6:9" x14ac:dyDescent="0.2">
      <c r="F349" s="4" t="str">
        <f>IF(LEN(TRIM(A349))=0,"",COUNTIFS(Students!H:H, A349))</f>
        <v/>
      </c>
      <c r="G349" s="4" t="str">
        <f>IF(LEN(TRIM(A349))=0,"",COUNTIFS(Students!H:H, A349, Students!D:D, "&lt;&gt;"))</f>
        <v/>
      </c>
      <c r="H349" s="4" t="str">
        <f t="shared" si="10"/>
        <v/>
      </c>
      <c r="I349" s="5" t="str">
        <f t="shared" si="11"/>
        <v/>
      </c>
    </row>
    <row r="350" spans="6:9" x14ac:dyDescent="0.2">
      <c r="F350" s="4" t="str">
        <f>IF(LEN(TRIM(A350))=0,"",COUNTIFS(Students!H:H, A350))</f>
        <v/>
      </c>
      <c r="G350" s="4" t="str">
        <f>IF(LEN(TRIM(A350))=0,"",COUNTIFS(Students!H:H, A350, Students!D:D, "&lt;&gt;"))</f>
        <v/>
      </c>
      <c r="H350" s="4" t="str">
        <f t="shared" si="10"/>
        <v/>
      </c>
      <c r="I350" s="5" t="str">
        <f t="shared" si="11"/>
        <v/>
      </c>
    </row>
    <row r="351" spans="6:9" x14ac:dyDescent="0.2">
      <c r="F351" s="4" t="str">
        <f>IF(LEN(TRIM(A351))=0,"",COUNTIFS(Students!H:H, A351))</f>
        <v/>
      </c>
      <c r="G351" s="4" t="str">
        <f>IF(LEN(TRIM(A351))=0,"",COUNTIFS(Students!H:H, A351, Students!D:D, "&lt;&gt;"))</f>
        <v/>
      </c>
      <c r="H351" s="4" t="str">
        <f t="shared" si="10"/>
        <v/>
      </c>
      <c r="I351" s="5" t="str">
        <f t="shared" si="11"/>
        <v/>
      </c>
    </row>
    <row r="352" spans="6:9" x14ac:dyDescent="0.2">
      <c r="F352" s="4" t="str">
        <f>IF(LEN(TRIM(A352))=0,"",COUNTIFS(Students!H:H, A352))</f>
        <v/>
      </c>
      <c r="G352" s="4" t="str">
        <f>IF(LEN(TRIM(A352))=0,"",COUNTIFS(Students!H:H, A352, Students!D:D, "&lt;&gt;"))</f>
        <v/>
      </c>
      <c r="H352" s="4" t="str">
        <f t="shared" si="10"/>
        <v/>
      </c>
      <c r="I352" s="5" t="str">
        <f t="shared" si="11"/>
        <v/>
      </c>
    </row>
    <row r="353" spans="6:9" x14ac:dyDescent="0.2">
      <c r="F353" s="4" t="str">
        <f>IF(LEN(TRIM(A353))=0,"",COUNTIFS(Students!H:H, A353))</f>
        <v/>
      </c>
      <c r="G353" s="4" t="str">
        <f>IF(LEN(TRIM(A353))=0,"",COUNTIFS(Students!H:H, A353, Students!D:D, "&lt;&gt;"))</f>
        <v/>
      </c>
      <c r="H353" s="4" t="str">
        <f t="shared" si="10"/>
        <v/>
      </c>
      <c r="I353" s="5" t="str">
        <f t="shared" si="11"/>
        <v/>
      </c>
    </row>
    <row r="354" spans="6:9" x14ac:dyDescent="0.2">
      <c r="F354" s="4" t="str">
        <f>IF(LEN(TRIM(A354))=0,"",COUNTIFS(Students!H:H, A354))</f>
        <v/>
      </c>
      <c r="G354" s="4" t="str">
        <f>IF(LEN(TRIM(A354))=0,"",COUNTIFS(Students!H:H, A354, Students!D:D, "&lt;&gt;"))</f>
        <v/>
      </c>
      <c r="H354" s="4" t="str">
        <f t="shared" si="10"/>
        <v/>
      </c>
      <c r="I354" s="5" t="str">
        <f t="shared" si="11"/>
        <v/>
      </c>
    </row>
    <row r="355" spans="6:9" x14ac:dyDescent="0.2">
      <c r="F355" s="4" t="str">
        <f>IF(LEN(TRIM(A355))=0,"",COUNTIFS(Students!H:H, A355))</f>
        <v/>
      </c>
      <c r="G355" s="4" t="str">
        <f>IF(LEN(TRIM(A355))=0,"",COUNTIFS(Students!H:H, A355, Students!D:D, "&lt;&gt;"))</f>
        <v/>
      </c>
      <c r="H355" s="4" t="str">
        <f t="shared" si="10"/>
        <v/>
      </c>
      <c r="I355" s="5" t="str">
        <f t="shared" si="11"/>
        <v/>
      </c>
    </row>
    <row r="356" spans="6:9" x14ac:dyDescent="0.2">
      <c r="F356" s="4" t="str">
        <f>IF(LEN(TRIM(A356))=0,"",COUNTIFS(Students!H:H, A356))</f>
        <v/>
      </c>
      <c r="G356" s="4" t="str">
        <f>IF(LEN(TRIM(A356))=0,"",COUNTIFS(Students!H:H, A356, Students!D:D, "&lt;&gt;"))</f>
        <v/>
      </c>
      <c r="H356" s="4" t="str">
        <f t="shared" si="10"/>
        <v/>
      </c>
      <c r="I356" s="5" t="str">
        <f t="shared" si="11"/>
        <v/>
      </c>
    </row>
    <row r="357" spans="6:9" x14ac:dyDescent="0.2">
      <c r="F357" s="4" t="str">
        <f>IF(LEN(TRIM(A357))=0,"",COUNTIFS(Students!H:H, A357))</f>
        <v/>
      </c>
      <c r="G357" s="4" t="str">
        <f>IF(LEN(TRIM(A357))=0,"",COUNTIFS(Students!H:H, A357, Students!D:D, "&lt;&gt;"))</f>
        <v/>
      </c>
      <c r="H357" s="4" t="str">
        <f t="shared" si="10"/>
        <v/>
      </c>
      <c r="I357" s="5" t="str">
        <f t="shared" si="11"/>
        <v/>
      </c>
    </row>
    <row r="358" spans="6:9" x14ac:dyDescent="0.2">
      <c r="F358" s="4" t="str">
        <f>IF(LEN(TRIM(A358))=0,"",COUNTIFS(Students!H:H, A358))</f>
        <v/>
      </c>
      <c r="G358" s="4" t="str">
        <f>IF(LEN(TRIM(A358))=0,"",COUNTIFS(Students!H:H, A358, Students!D:D, "&lt;&gt;"))</f>
        <v/>
      </c>
      <c r="H358" s="4" t="str">
        <f t="shared" si="10"/>
        <v/>
      </c>
      <c r="I358" s="5" t="str">
        <f t="shared" si="11"/>
        <v/>
      </c>
    </row>
    <row r="359" spans="6:9" x14ac:dyDescent="0.2">
      <c r="F359" s="4" t="str">
        <f>IF(LEN(TRIM(A359))=0,"",COUNTIFS(Students!H:H, A359))</f>
        <v/>
      </c>
      <c r="G359" s="4" t="str">
        <f>IF(LEN(TRIM(A359))=0,"",COUNTIFS(Students!H:H, A359, Students!D:D, "&lt;&gt;"))</f>
        <v/>
      </c>
      <c r="H359" s="4" t="str">
        <f t="shared" si="10"/>
        <v/>
      </c>
      <c r="I359" s="5" t="str">
        <f t="shared" si="11"/>
        <v/>
      </c>
    </row>
    <row r="360" spans="6:9" x14ac:dyDescent="0.2">
      <c r="F360" s="4" t="str">
        <f>IF(LEN(TRIM(A360))=0,"",COUNTIFS(Students!H:H, A360))</f>
        <v/>
      </c>
      <c r="G360" s="4" t="str">
        <f>IF(LEN(TRIM(A360))=0,"",COUNTIFS(Students!H:H, A360, Students!D:D, "&lt;&gt;"))</f>
        <v/>
      </c>
      <c r="H360" s="4" t="str">
        <f t="shared" si="10"/>
        <v/>
      </c>
      <c r="I360" s="5" t="str">
        <f t="shared" si="11"/>
        <v/>
      </c>
    </row>
    <row r="361" spans="6:9" x14ac:dyDescent="0.2">
      <c r="F361" s="4" t="str">
        <f>IF(LEN(TRIM(A361))=0,"",COUNTIFS(Students!H:H, A361))</f>
        <v/>
      </c>
      <c r="G361" s="4" t="str">
        <f>IF(LEN(TRIM(A361))=0,"",COUNTIFS(Students!H:H, A361, Students!D:D, "&lt;&gt;"))</f>
        <v/>
      </c>
      <c r="H361" s="4" t="str">
        <f t="shared" si="10"/>
        <v/>
      </c>
      <c r="I361" s="5" t="str">
        <f t="shared" si="11"/>
        <v/>
      </c>
    </row>
    <row r="362" spans="6:9" x14ac:dyDescent="0.2">
      <c r="F362" s="4" t="str">
        <f>IF(LEN(TRIM(A362))=0,"",COUNTIFS(Students!H:H, A362))</f>
        <v/>
      </c>
      <c r="G362" s="4" t="str">
        <f>IF(LEN(TRIM(A362))=0,"",COUNTIFS(Students!H:H, A362, Students!D:D, "&lt;&gt;"))</f>
        <v/>
      </c>
      <c r="H362" s="4" t="str">
        <f t="shared" si="10"/>
        <v/>
      </c>
      <c r="I362" s="5" t="str">
        <f t="shared" si="11"/>
        <v/>
      </c>
    </row>
    <row r="363" spans="6:9" x14ac:dyDescent="0.2">
      <c r="F363" s="4" t="str">
        <f>IF(LEN(TRIM(A363))=0,"",COUNTIFS(Students!H:H, A363))</f>
        <v/>
      </c>
      <c r="G363" s="4" t="str">
        <f>IF(LEN(TRIM(A363))=0,"",COUNTIFS(Students!H:H, A363, Students!D:D, "&lt;&gt;"))</f>
        <v/>
      </c>
      <c r="H363" s="4" t="str">
        <f t="shared" si="10"/>
        <v/>
      </c>
      <c r="I363" s="5" t="str">
        <f t="shared" si="11"/>
        <v/>
      </c>
    </row>
    <row r="364" spans="6:9" x14ac:dyDescent="0.2">
      <c r="F364" s="4" t="str">
        <f>IF(LEN(TRIM(A364))=0,"",COUNTIFS(Students!H:H, A364))</f>
        <v/>
      </c>
      <c r="G364" s="4" t="str">
        <f>IF(LEN(TRIM(A364))=0,"",COUNTIFS(Students!H:H, A364, Students!D:D, "&lt;&gt;"))</f>
        <v/>
      </c>
      <c r="H364" s="4" t="str">
        <f t="shared" si="10"/>
        <v/>
      </c>
      <c r="I364" s="5" t="str">
        <f t="shared" si="11"/>
        <v/>
      </c>
    </row>
    <row r="365" spans="6:9" x14ac:dyDescent="0.2">
      <c r="F365" s="4" t="str">
        <f>IF(LEN(TRIM(A365))=0,"",COUNTIFS(Students!H:H, A365))</f>
        <v/>
      </c>
      <c r="G365" s="4" t="str">
        <f>IF(LEN(TRIM(A365))=0,"",COUNTIFS(Students!H:H, A365, Students!D:D, "&lt;&gt;"))</f>
        <v/>
      </c>
      <c r="H365" s="4" t="str">
        <f t="shared" si="10"/>
        <v/>
      </c>
      <c r="I365" s="5" t="str">
        <f t="shared" si="11"/>
        <v/>
      </c>
    </row>
    <row r="366" spans="6:9" x14ac:dyDescent="0.2">
      <c r="F366" s="4" t="str">
        <f>IF(LEN(TRIM(A366))=0,"",COUNTIFS(Students!H:H, A366))</f>
        <v/>
      </c>
      <c r="G366" s="4" t="str">
        <f>IF(LEN(TRIM(A366))=0,"",COUNTIFS(Students!H:H, A366, Students!D:D, "&lt;&gt;"))</f>
        <v/>
      </c>
      <c r="H366" s="4" t="str">
        <f t="shared" si="10"/>
        <v/>
      </c>
      <c r="I366" s="5" t="str">
        <f t="shared" si="11"/>
        <v/>
      </c>
    </row>
    <row r="367" spans="6:9" x14ac:dyDescent="0.2">
      <c r="F367" s="4" t="str">
        <f>IF(LEN(TRIM(A367))=0,"",COUNTIFS(Students!H:H, A367))</f>
        <v/>
      </c>
      <c r="G367" s="4" t="str">
        <f>IF(LEN(TRIM(A367))=0,"",COUNTIFS(Students!H:H, A367, Students!D:D, "&lt;&gt;"))</f>
        <v/>
      </c>
      <c r="H367" s="4" t="str">
        <f t="shared" si="10"/>
        <v/>
      </c>
      <c r="I367" s="5" t="str">
        <f t="shared" si="11"/>
        <v/>
      </c>
    </row>
    <row r="368" spans="6:9" x14ac:dyDescent="0.2">
      <c r="F368" s="4" t="str">
        <f>IF(LEN(TRIM(A368))=0,"",COUNTIFS(Students!H:H, A368))</f>
        <v/>
      </c>
      <c r="G368" s="4" t="str">
        <f>IF(LEN(TRIM(A368))=0,"",COUNTIFS(Students!H:H, A368, Students!D:D, "&lt;&gt;"))</f>
        <v/>
      </c>
      <c r="H368" s="4" t="str">
        <f t="shared" si="10"/>
        <v/>
      </c>
      <c r="I368" s="5" t="str">
        <f t="shared" si="11"/>
        <v/>
      </c>
    </row>
    <row r="369" spans="6:9" x14ac:dyDescent="0.2">
      <c r="F369" s="4" t="str">
        <f>IF(LEN(TRIM(A369))=0,"",COUNTIFS(Students!H:H, A369))</f>
        <v/>
      </c>
      <c r="G369" s="4" t="str">
        <f>IF(LEN(TRIM(A369))=0,"",COUNTIFS(Students!H:H, A369, Students!D:D, "&lt;&gt;"))</f>
        <v/>
      </c>
      <c r="H369" s="4" t="str">
        <f t="shared" si="10"/>
        <v/>
      </c>
      <c r="I369" s="5" t="str">
        <f t="shared" si="11"/>
        <v/>
      </c>
    </row>
    <row r="370" spans="6:9" x14ac:dyDescent="0.2">
      <c r="F370" s="4" t="str">
        <f>IF(LEN(TRIM(A370))=0,"",COUNTIFS(Students!H:H, A370))</f>
        <v/>
      </c>
      <c r="G370" s="4" t="str">
        <f>IF(LEN(TRIM(A370))=0,"",COUNTIFS(Students!H:H, A370, Students!D:D, "&lt;&gt;"))</f>
        <v/>
      </c>
      <c r="H370" s="4" t="str">
        <f t="shared" si="10"/>
        <v/>
      </c>
      <c r="I370" s="5" t="str">
        <f t="shared" si="11"/>
        <v/>
      </c>
    </row>
    <row r="371" spans="6:9" x14ac:dyDescent="0.2">
      <c r="F371" s="4" t="str">
        <f>IF(LEN(TRIM(A371))=0,"",COUNTIFS(Students!H:H, A371))</f>
        <v/>
      </c>
      <c r="G371" s="4" t="str">
        <f>IF(LEN(TRIM(A371))=0,"",COUNTIFS(Students!H:H, A371, Students!D:D, "&lt;&gt;"))</f>
        <v/>
      </c>
      <c r="H371" s="4" t="str">
        <f t="shared" si="10"/>
        <v/>
      </c>
      <c r="I371" s="5" t="str">
        <f t="shared" si="11"/>
        <v/>
      </c>
    </row>
    <row r="372" spans="6:9" x14ac:dyDescent="0.2">
      <c r="F372" s="4" t="str">
        <f>IF(LEN(TRIM(A372))=0,"",COUNTIFS(Students!H:H, A372))</f>
        <v/>
      </c>
      <c r="G372" s="4" t="str">
        <f>IF(LEN(TRIM(A372))=0,"",COUNTIFS(Students!H:H, A372, Students!D:D, "&lt;&gt;"))</f>
        <v/>
      </c>
      <c r="H372" s="4" t="str">
        <f t="shared" si="10"/>
        <v/>
      </c>
      <c r="I372" s="5" t="str">
        <f t="shared" si="11"/>
        <v/>
      </c>
    </row>
    <row r="373" spans="6:9" x14ac:dyDescent="0.2">
      <c r="F373" s="4" t="str">
        <f>IF(LEN(TRIM(A373))=0,"",COUNTIFS(Students!H:H, A373))</f>
        <v/>
      </c>
      <c r="G373" s="4" t="str">
        <f>IF(LEN(TRIM(A373))=0,"",COUNTIFS(Students!H:H, A373, Students!D:D, "&lt;&gt;"))</f>
        <v/>
      </c>
      <c r="H373" s="4" t="str">
        <f t="shared" si="10"/>
        <v/>
      </c>
      <c r="I373" s="5" t="str">
        <f t="shared" si="11"/>
        <v/>
      </c>
    </row>
    <row r="374" spans="6:9" x14ac:dyDescent="0.2">
      <c r="F374" s="4" t="str">
        <f>IF(LEN(TRIM(A374))=0,"",COUNTIFS(Students!H:H, A374))</f>
        <v/>
      </c>
      <c r="G374" s="4" t="str">
        <f>IF(LEN(TRIM(A374))=0,"",COUNTIFS(Students!H:H, A374, Students!D:D, "&lt;&gt;"))</f>
        <v/>
      </c>
      <c r="H374" s="4" t="str">
        <f t="shared" si="10"/>
        <v/>
      </c>
      <c r="I374" s="5" t="str">
        <f t="shared" si="11"/>
        <v/>
      </c>
    </row>
    <row r="375" spans="6:9" x14ac:dyDescent="0.2">
      <c r="F375" s="4" t="str">
        <f>IF(LEN(TRIM(A375))=0,"",COUNTIFS(Students!H:H, A375))</f>
        <v/>
      </c>
      <c r="G375" s="4" t="str">
        <f>IF(LEN(TRIM(A375))=0,"",COUNTIFS(Students!H:H, A375, Students!D:D, "&lt;&gt;"))</f>
        <v/>
      </c>
      <c r="H375" s="4" t="str">
        <f t="shared" si="10"/>
        <v/>
      </c>
      <c r="I375" s="5" t="str">
        <f t="shared" si="11"/>
        <v/>
      </c>
    </row>
    <row r="376" spans="6:9" x14ac:dyDescent="0.2">
      <c r="F376" s="4" t="str">
        <f>IF(LEN(TRIM(A376))=0,"",COUNTIFS(Students!H:H, A376))</f>
        <v/>
      </c>
      <c r="G376" s="4" t="str">
        <f>IF(LEN(TRIM(A376))=0,"",COUNTIFS(Students!H:H, A376, Students!D:D, "&lt;&gt;"))</f>
        <v/>
      </c>
      <c r="H376" s="4" t="str">
        <f t="shared" si="10"/>
        <v/>
      </c>
      <c r="I376" s="5" t="str">
        <f t="shared" si="11"/>
        <v/>
      </c>
    </row>
    <row r="377" spans="6:9" x14ac:dyDescent="0.2">
      <c r="F377" s="4" t="str">
        <f>IF(LEN(TRIM(A377))=0,"",COUNTIFS(Students!H:H, A377))</f>
        <v/>
      </c>
      <c r="G377" s="4" t="str">
        <f>IF(LEN(TRIM(A377))=0,"",COUNTIFS(Students!H:H, A377, Students!D:D, "&lt;&gt;"))</f>
        <v/>
      </c>
      <c r="H377" s="4" t="str">
        <f t="shared" si="10"/>
        <v/>
      </c>
      <c r="I377" s="5" t="str">
        <f t="shared" si="11"/>
        <v/>
      </c>
    </row>
    <row r="378" spans="6:9" x14ac:dyDescent="0.2">
      <c r="F378" s="4" t="str">
        <f>IF(LEN(TRIM(A378))=0,"",COUNTIFS(Students!H:H, A378))</f>
        <v/>
      </c>
      <c r="G378" s="4" t="str">
        <f>IF(LEN(TRIM(A378))=0,"",COUNTIFS(Students!H:H, A378, Students!D:D, "&lt;&gt;"))</f>
        <v/>
      </c>
      <c r="H378" s="4" t="str">
        <f t="shared" si="10"/>
        <v/>
      </c>
      <c r="I378" s="5" t="str">
        <f t="shared" si="11"/>
        <v/>
      </c>
    </row>
    <row r="379" spans="6:9" x14ac:dyDescent="0.2">
      <c r="F379" s="4" t="str">
        <f>IF(LEN(TRIM(A379))=0,"",COUNTIFS(Students!H:H, A379))</f>
        <v/>
      </c>
      <c r="G379" s="4" t="str">
        <f>IF(LEN(TRIM(A379))=0,"",COUNTIFS(Students!H:H, A379, Students!D:D, "&lt;&gt;"))</f>
        <v/>
      </c>
      <c r="H379" s="4" t="str">
        <f t="shared" si="10"/>
        <v/>
      </c>
      <c r="I379" s="5" t="str">
        <f t="shared" si="11"/>
        <v/>
      </c>
    </row>
    <row r="380" spans="6:9" x14ac:dyDescent="0.2">
      <c r="F380" s="4" t="str">
        <f>IF(LEN(TRIM(A380))=0,"",COUNTIFS(Students!H:H, A380))</f>
        <v/>
      </c>
      <c r="G380" s="4" t="str">
        <f>IF(LEN(TRIM(A380))=0,"",COUNTIFS(Students!H:H, A380, Students!D:D, "&lt;&gt;"))</f>
        <v/>
      </c>
      <c r="H380" s="4" t="str">
        <f t="shared" si="10"/>
        <v/>
      </c>
      <c r="I380" s="5" t="str">
        <f t="shared" si="11"/>
        <v/>
      </c>
    </row>
    <row r="381" spans="6:9" x14ac:dyDescent="0.2">
      <c r="F381" s="4" t="str">
        <f>IF(LEN(TRIM(A381))=0,"",COUNTIFS(Students!H:H, A381))</f>
        <v/>
      </c>
      <c r="G381" s="4" t="str">
        <f>IF(LEN(TRIM(A381))=0,"",COUNTIFS(Students!H:H, A381, Students!D:D, "&lt;&gt;"))</f>
        <v/>
      </c>
      <c r="H381" s="4" t="str">
        <f t="shared" si="10"/>
        <v/>
      </c>
      <c r="I381" s="5" t="str">
        <f t="shared" si="11"/>
        <v/>
      </c>
    </row>
    <row r="382" spans="6:9" x14ac:dyDescent="0.2">
      <c r="F382" s="4" t="str">
        <f>IF(LEN(TRIM(A382))=0,"",COUNTIFS(Students!H:H, A382))</f>
        <v/>
      </c>
      <c r="G382" s="4" t="str">
        <f>IF(LEN(TRIM(A382))=0,"",COUNTIFS(Students!H:H, A382, Students!D:D, "&lt;&gt;"))</f>
        <v/>
      </c>
      <c r="H382" s="4" t="str">
        <f t="shared" si="10"/>
        <v/>
      </c>
      <c r="I382" s="5" t="str">
        <f t="shared" si="11"/>
        <v/>
      </c>
    </row>
    <row r="383" spans="6:9" x14ac:dyDescent="0.2">
      <c r="F383" s="4" t="str">
        <f>IF(LEN(TRIM(A383))=0,"",COUNTIFS(Students!H:H, A383))</f>
        <v/>
      </c>
      <c r="G383" s="4" t="str">
        <f>IF(LEN(TRIM(A383))=0,"",COUNTIFS(Students!H:H, A383, Students!D:D, "&lt;&gt;"))</f>
        <v/>
      </c>
      <c r="H383" s="4" t="str">
        <f t="shared" si="10"/>
        <v/>
      </c>
      <c r="I383" s="5" t="str">
        <f t="shared" si="11"/>
        <v/>
      </c>
    </row>
    <row r="384" spans="6:9" x14ac:dyDescent="0.2">
      <c r="F384" s="4" t="str">
        <f>IF(LEN(TRIM(A384))=0,"",COUNTIFS(Students!H:H, A384))</f>
        <v/>
      </c>
      <c r="G384" s="4" t="str">
        <f>IF(LEN(TRIM(A384))=0,"",COUNTIFS(Students!H:H, A384, Students!D:D, "&lt;&gt;"))</f>
        <v/>
      </c>
      <c r="H384" s="4" t="str">
        <f t="shared" si="10"/>
        <v/>
      </c>
      <c r="I384" s="5" t="str">
        <f t="shared" si="11"/>
        <v/>
      </c>
    </row>
    <row r="385" spans="6:9" x14ac:dyDescent="0.2">
      <c r="F385" s="4" t="str">
        <f>IF(LEN(TRIM(A385))=0,"",COUNTIFS(Students!H:H, A385))</f>
        <v/>
      </c>
      <c r="G385" s="4" t="str">
        <f>IF(LEN(TRIM(A385))=0,"",COUNTIFS(Students!H:H, A385, Students!D:D, "&lt;&gt;"))</f>
        <v/>
      </c>
      <c r="H385" s="4" t="str">
        <f t="shared" si="10"/>
        <v/>
      </c>
      <c r="I385" s="5" t="str">
        <f t="shared" si="11"/>
        <v/>
      </c>
    </row>
    <row r="386" spans="6:9" x14ac:dyDescent="0.2">
      <c r="F386" s="4" t="str">
        <f>IF(LEN(TRIM(A386))=0,"",COUNTIFS(Students!H:H, A386))</f>
        <v/>
      </c>
      <c r="G386" s="4" t="str">
        <f>IF(LEN(TRIM(A386))=0,"",COUNTIFS(Students!H:H, A386, Students!D:D, "&lt;&gt;"))</f>
        <v/>
      </c>
      <c r="H386" s="4" t="str">
        <f t="shared" si="10"/>
        <v/>
      </c>
      <c r="I386" s="5" t="str">
        <f t="shared" si="11"/>
        <v/>
      </c>
    </row>
    <row r="387" spans="6:9" x14ac:dyDescent="0.2">
      <c r="F387" s="4" t="str">
        <f>IF(LEN(TRIM(A387))=0,"",COUNTIFS(Students!H:H, A387))</f>
        <v/>
      </c>
      <c r="G387" s="4" t="str">
        <f>IF(LEN(TRIM(A387))=0,"",COUNTIFS(Students!H:H, A387, Students!D:D, "&lt;&gt;"))</f>
        <v/>
      </c>
      <c r="H387" s="4" t="str">
        <f t="shared" ref="H387:H450" si="12">IFERROR(F387-G387,"")</f>
        <v/>
      </c>
      <c r="I387" s="5" t="str">
        <f t="shared" ref="I387:I450" si="13">IFERROR(IF(F387=0, "N/A", G387/F387),"")</f>
        <v/>
      </c>
    </row>
    <row r="388" spans="6:9" x14ac:dyDescent="0.2">
      <c r="F388" s="4" t="str">
        <f>IF(LEN(TRIM(A388))=0,"",COUNTIFS(Students!H:H, A388))</f>
        <v/>
      </c>
      <c r="G388" s="4" t="str">
        <f>IF(LEN(TRIM(A388))=0,"",COUNTIFS(Students!H:H, A388, Students!D:D, "&lt;&gt;"))</f>
        <v/>
      </c>
      <c r="H388" s="4" t="str">
        <f t="shared" si="12"/>
        <v/>
      </c>
      <c r="I388" s="5" t="str">
        <f t="shared" si="13"/>
        <v/>
      </c>
    </row>
    <row r="389" spans="6:9" x14ac:dyDescent="0.2">
      <c r="F389" s="4" t="str">
        <f>IF(LEN(TRIM(A389))=0,"",COUNTIFS(Students!H:H, A389))</f>
        <v/>
      </c>
      <c r="G389" s="4" t="str">
        <f>IF(LEN(TRIM(A389))=0,"",COUNTIFS(Students!H:H, A389, Students!D:D, "&lt;&gt;"))</f>
        <v/>
      </c>
      <c r="H389" s="4" t="str">
        <f t="shared" si="12"/>
        <v/>
      </c>
      <c r="I389" s="5" t="str">
        <f t="shared" si="13"/>
        <v/>
      </c>
    </row>
    <row r="390" spans="6:9" x14ac:dyDescent="0.2">
      <c r="F390" s="4" t="str">
        <f>IF(LEN(TRIM(A390))=0,"",COUNTIFS(Students!H:H, A390))</f>
        <v/>
      </c>
      <c r="G390" s="4" t="str">
        <f>IF(LEN(TRIM(A390))=0,"",COUNTIFS(Students!H:H, A390, Students!D:D, "&lt;&gt;"))</f>
        <v/>
      </c>
      <c r="H390" s="4" t="str">
        <f t="shared" si="12"/>
        <v/>
      </c>
      <c r="I390" s="5" t="str">
        <f t="shared" si="13"/>
        <v/>
      </c>
    </row>
    <row r="391" spans="6:9" x14ac:dyDescent="0.2">
      <c r="F391" s="4" t="str">
        <f>IF(LEN(TRIM(A391))=0,"",COUNTIFS(Students!H:H, A391))</f>
        <v/>
      </c>
      <c r="G391" s="4" t="str">
        <f>IF(LEN(TRIM(A391))=0,"",COUNTIFS(Students!H:H, A391, Students!D:D, "&lt;&gt;"))</f>
        <v/>
      </c>
      <c r="H391" s="4" t="str">
        <f t="shared" si="12"/>
        <v/>
      </c>
      <c r="I391" s="5" t="str">
        <f t="shared" si="13"/>
        <v/>
      </c>
    </row>
    <row r="392" spans="6:9" x14ac:dyDescent="0.2">
      <c r="F392" s="4" t="str">
        <f>IF(LEN(TRIM(A392))=0,"",COUNTIFS(Students!H:H, A392))</f>
        <v/>
      </c>
      <c r="G392" s="4" t="str">
        <f>IF(LEN(TRIM(A392))=0,"",COUNTIFS(Students!H:H, A392, Students!D:D, "&lt;&gt;"))</f>
        <v/>
      </c>
      <c r="H392" s="4" t="str">
        <f t="shared" si="12"/>
        <v/>
      </c>
      <c r="I392" s="5" t="str">
        <f t="shared" si="13"/>
        <v/>
      </c>
    </row>
    <row r="393" spans="6:9" x14ac:dyDescent="0.2">
      <c r="F393" s="4" t="str">
        <f>IF(LEN(TRIM(A393))=0,"",COUNTIFS(Students!H:H, A393))</f>
        <v/>
      </c>
      <c r="G393" s="4" t="str">
        <f>IF(LEN(TRIM(A393))=0,"",COUNTIFS(Students!H:H, A393, Students!D:D, "&lt;&gt;"))</f>
        <v/>
      </c>
      <c r="H393" s="4" t="str">
        <f t="shared" si="12"/>
        <v/>
      </c>
      <c r="I393" s="5" t="str">
        <f t="shared" si="13"/>
        <v/>
      </c>
    </row>
    <row r="394" spans="6:9" x14ac:dyDescent="0.2">
      <c r="F394" s="4" t="str">
        <f>IF(LEN(TRIM(A394))=0,"",COUNTIFS(Students!H:H, A394))</f>
        <v/>
      </c>
      <c r="G394" s="4" t="str">
        <f>IF(LEN(TRIM(A394))=0,"",COUNTIFS(Students!H:H, A394, Students!D:D, "&lt;&gt;"))</f>
        <v/>
      </c>
      <c r="H394" s="4" t="str">
        <f t="shared" si="12"/>
        <v/>
      </c>
      <c r="I394" s="5" t="str">
        <f t="shared" si="13"/>
        <v/>
      </c>
    </row>
    <row r="395" spans="6:9" x14ac:dyDescent="0.2">
      <c r="F395" s="4" t="str">
        <f>IF(LEN(TRIM(A395))=0,"",COUNTIFS(Students!H:H, A395))</f>
        <v/>
      </c>
      <c r="G395" s="4" t="str">
        <f>IF(LEN(TRIM(A395))=0,"",COUNTIFS(Students!H:H, A395, Students!D:D, "&lt;&gt;"))</f>
        <v/>
      </c>
      <c r="H395" s="4" t="str">
        <f t="shared" si="12"/>
        <v/>
      </c>
      <c r="I395" s="5" t="str">
        <f t="shared" si="13"/>
        <v/>
      </c>
    </row>
    <row r="396" spans="6:9" x14ac:dyDescent="0.2">
      <c r="F396" s="4" t="str">
        <f>IF(LEN(TRIM(A396))=0,"",COUNTIFS(Students!H:H, A396))</f>
        <v/>
      </c>
      <c r="G396" s="4" t="str">
        <f>IF(LEN(TRIM(A396))=0,"",COUNTIFS(Students!H:H, A396, Students!D:D, "&lt;&gt;"))</f>
        <v/>
      </c>
      <c r="H396" s="4" t="str">
        <f t="shared" si="12"/>
        <v/>
      </c>
      <c r="I396" s="5" t="str">
        <f t="shared" si="13"/>
        <v/>
      </c>
    </row>
    <row r="397" spans="6:9" x14ac:dyDescent="0.2">
      <c r="F397" s="4" t="str">
        <f>IF(LEN(TRIM(A397))=0,"",COUNTIFS(Students!H:H, A397))</f>
        <v/>
      </c>
      <c r="G397" s="4" t="str">
        <f>IF(LEN(TRIM(A397))=0,"",COUNTIFS(Students!H:H, A397, Students!D:D, "&lt;&gt;"))</f>
        <v/>
      </c>
      <c r="H397" s="4" t="str">
        <f t="shared" si="12"/>
        <v/>
      </c>
      <c r="I397" s="5" t="str">
        <f t="shared" si="13"/>
        <v/>
      </c>
    </row>
    <row r="398" spans="6:9" x14ac:dyDescent="0.2">
      <c r="F398" s="4" t="str">
        <f>IF(LEN(TRIM(A398))=0,"",COUNTIFS(Students!H:H, A398))</f>
        <v/>
      </c>
      <c r="G398" s="4" t="str">
        <f>IF(LEN(TRIM(A398))=0,"",COUNTIFS(Students!H:H, A398, Students!D:D, "&lt;&gt;"))</f>
        <v/>
      </c>
      <c r="H398" s="4" t="str">
        <f t="shared" si="12"/>
        <v/>
      </c>
      <c r="I398" s="5" t="str">
        <f t="shared" si="13"/>
        <v/>
      </c>
    </row>
    <row r="399" spans="6:9" x14ac:dyDescent="0.2">
      <c r="F399" s="4" t="str">
        <f>IF(LEN(TRIM(A399))=0,"",COUNTIFS(Students!H:H, A399))</f>
        <v/>
      </c>
      <c r="G399" s="4" t="str">
        <f>IF(LEN(TRIM(A399))=0,"",COUNTIFS(Students!H:H, A399, Students!D:D, "&lt;&gt;"))</f>
        <v/>
      </c>
      <c r="H399" s="4" t="str">
        <f t="shared" si="12"/>
        <v/>
      </c>
      <c r="I399" s="5" t="str">
        <f t="shared" si="13"/>
        <v/>
      </c>
    </row>
    <row r="400" spans="6:9" x14ac:dyDescent="0.2">
      <c r="F400" s="4" t="str">
        <f>IF(LEN(TRIM(A400))=0,"",COUNTIFS(Students!H:H, A400))</f>
        <v/>
      </c>
      <c r="G400" s="4" t="str">
        <f>IF(LEN(TRIM(A400))=0,"",COUNTIFS(Students!H:H, A400, Students!D:D, "&lt;&gt;"))</f>
        <v/>
      </c>
      <c r="H400" s="4" t="str">
        <f t="shared" si="12"/>
        <v/>
      </c>
      <c r="I400" s="5" t="str">
        <f t="shared" si="13"/>
        <v/>
      </c>
    </row>
    <row r="401" spans="6:9" x14ac:dyDescent="0.2">
      <c r="F401" s="4" t="str">
        <f>IF(LEN(TRIM(A401))=0,"",COUNTIFS(Students!H:H, A401))</f>
        <v/>
      </c>
      <c r="G401" s="4" t="str">
        <f>IF(LEN(TRIM(A401))=0,"",COUNTIFS(Students!H:H, A401, Students!D:D, "&lt;&gt;"))</f>
        <v/>
      </c>
      <c r="H401" s="4" t="str">
        <f t="shared" si="12"/>
        <v/>
      </c>
      <c r="I401" s="5" t="str">
        <f t="shared" si="13"/>
        <v/>
      </c>
    </row>
    <row r="402" spans="6:9" x14ac:dyDescent="0.2">
      <c r="F402" s="4" t="str">
        <f>IF(LEN(TRIM(A402))=0,"",COUNTIFS(Students!H:H, A402))</f>
        <v/>
      </c>
      <c r="G402" s="4" t="str">
        <f>IF(LEN(TRIM(A402))=0,"",COUNTIFS(Students!H:H, A402, Students!D:D, "&lt;&gt;"))</f>
        <v/>
      </c>
      <c r="H402" s="4" t="str">
        <f t="shared" si="12"/>
        <v/>
      </c>
      <c r="I402" s="5" t="str">
        <f t="shared" si="13"/>
        <v/>
      </c>
    </row>
    <row r="403" spans="6:9" x14ac:dyDescent="0.2">
      <c r="F403" s="4" t="str">
        <f>IF(LEN(TRIM(A403))=0,"",COUNTIFS(Students!H:H, A403))</f>
        <v/>
      </c>
      <c r="G403" s="4" t="str">
        <f>IF(LEN(TRIM(A403))=0,"",COUNTIFS(Students!H:H, A403, Students!D:D, "&lt;&gt;"))</f>
        <v/>
      </c>
      <c r="H403" s="4" t="str">
        <f t="shared" si="12"/>
        <v/>
      </c>
      <c r="I403" s="5" t="str">
        <f t="shared" si="13"/>
        <v/>
      </c>
    </row>
    <row r="404" spans="6:9" x14ac:dyDescent="0.2">
      <c r="F404" s="4" t="str">
        <f>IF(LEN(TRIM(A404))=0,"",COUNTIFS(Students!H:H, A404))</f>
        <v/>
      </c>
      <c r="G404" s="4" t="str">
        <f>IF(LEN(TRIM(A404))=0,"",COUNTIFS(Students!H:H, A404, Students!D:D, "&lt;&gt;"))</f>
        <v/>
      </c>
      <c r="H404" s="4" t="str">
        <f t="shared" si="12"/>
        <v/>
      </c>
      <c r="I404" s="5" t="str">
        <f t="shared" si="13"/>
        <v/>
      </c>
    </row>
    <row r="405" spans="6:9" x14ac:dyDescent="0.2">
      <c r="F405" s="4" t="str">
        <f>IF(LEN(TRIM(A405))=0,"",COUNTIFS(Students!H:H, A405))</f>
        <v/>
      </c>
      <c r="G405" s="4" t="str">
        <f>IF(LEN(TRIM(A405))=0,"",COUNTIFS(Students!H:H, A405, Students!D:D, "&lt;&gt;"))</f>
        <v/>
      </c>
      <c r="H405" s="4" t="str">
        <f t="shared" si="12"/>
        <v/>
      </c>
      <c r="I405" s="5" t="str">
        <f t="shared" si="13"/>
        <v/>
      </c>
    </row>
    <row r="406" spans="6:9" x14ac:dyDescent="0.2">
      <c r="F406" s="4" t="str">
        <f>IF(LEN(TRIM(A406))=0,"",COUNTIFS(Students!H:H, A406))</f>
        <v/>
      </c>
      <c r="G406" s="4" t="str">
        <f>IF(LEN(TRIM(A406))=0,"",COUNTIFS(Students!H:H, A406, Students!D:D, "&lt;&gt;"))</f>
        <v/>
      </c>
      <c r="H406" s="4" t="str">
        <f t="shared" si="12"/>
        <v/>
      </c>
      <c r="I406" s="5" t="str">
        <f t="shared" si="13"/>
        <v/>
      </c>
    </row>
    <row r="407" spans="6:9" x14ac:dyDescent="0.2">
      <c r="F407" s="4" t="str">
        <f>IF(LEN(TRIM(A407))=0,"",COUNTIFS(Students!H:H, A407))</f>
        <v/>
      </c>
      <c r="G407" s="4" t="str">
        <f>IF(LEN(TRIM(A407))=0,"",COUNTIFS(Students!H:H, A407, Students!D:D, "&lt;&gt;"))</f>
        <v/>
      </c>
      <c r="H407" s="4" t="str">
        <f t="shared" si="12"/>
        <v/>
      </c>
      <c r="I407" s="5" t="str">
        <f t="shared" si="13"/>
        <v/>
      </c>
    </row>
    <row r="408" spans="6:9" x14ac:dyDescent="0.2">
      <c r="F408" s="4" t="str">
        <f>IF(LEN(TRIM(A408))=0,"",COUNTIFS(Students!H:H, A408))</f>
        <v/>
      </c>
      <c r="G408" s="4" t="str">
        <f>IF(LEN(TRIM(A408))=0,"",COUNTIFS(Students!H:H, A408, Students!D:D, "&lt;&gt;"))</f>
        <v/>
      </c>
      <c r="H408" s="4" t="str">
        <f t="shared" si="12"/>
        <v/>
      </c>
      <c r="I408" s="5" t="str">
        <f t="shared" si="13"/>
        <v/>
      </c>
    </row>
    <row r="409" spans="6:9" x14ac:dyDescent="0.2">
      <c r="F409" s="4" t="str">
        <f>IF(LEN(TRIM(A409))=0,"",COUNTIFS(Students!H:H, A409))</f>
        <v/>
      </c>
      <c r="G409" s="4" t="str">
        <f>IF(LEN(TRIM(A409))=0,"",COUNTIFS(Students!H:H, A409, Students!D:D, "&lt;&gt;"))</f>
        <v/>
      </c>
      <c r="H409" s="4" t="str">
        <f t="shared" si="12"/>
        <v/>
      </c>
      <c r="I409" s="5" t="str">
        <f t="shared" si="13"/>
        <v/>
      </c>
    </row>
    <row r="410" spans="6:9" x14ac:dyDescent="0.2">
      <c r="F410" s="4" t="str">
        <f>IF(LEN(TRIM(A410))=0,"",COUNTIFS(Students!H:H, A410))</f>
        <v/>
      </c>
      <c r="G410" s="4" t="str">
        <f>IF(LEN(TRIM(A410))=0,"",COUNTIFS(Students!H:H, A410, Students!D:D, "&lt;&gt;"))</f>
        <v/>
      </c>
      <c r="H410" s="4" t="str">
        <f t="shared" si="12"/>
        <v/>
      </c>
      <c r="I410" s="5" t="str">
        <f t="shared" si="13"/>
        <v/>
      </c>
    </row>
    <row r="411" spans="6:9" x14ac:dyDescent="0.2">
      <c r="F411" s="4" t="str">
        <f>IF(LEN(TRIM(A411))=0,"",COUNTIFS(Students!H:H, A411))</f>
        <v/>
      </c>
      <c r="G411" s="4" t="str">
        <f>IF(LEN(TRIM(A411))=0,"",COUNTIFS(Students!H:H, A411, Students!D:D, "&lt;&gt;"))</f>
        <v/>
      </c>
      <c r="H411" s="4" t="str">
        <f t="shared" si="12"/>
        <v/>
      </c>
      <c r="I411" s="5" t="str">
        <f t="shared" si="13"/>
        <v/>
      </c>
    </row>
    <row r="412" spans="6:9" x14ac:dyDescent="0.2">
      <c r="F412" s="4" t="str">
        <f>IF(LEN(TRIM(A412))=0,"",COUNTIFS(Students!H:H, A412))</f>
        <v/>
      </c>
      <c r="G412" s="4" t="str">
        <f>IF(LEN(TRIM(A412))=0,"",COUNTIFS(Students!H:H, A412, Students!D:D, "&lt;&gt;"))</f>
        <v/>
      </c>
      <c r="H412" s="4" t="str">
        <f t="shared" si="12"/>
        <v/>
      </c>
      <c r="I412" s="5" t="str">
        <f t="shared" si="13"/>
        <v/>
      </c>
    </row>
    <row r="413" spans="6:9" x14ac:dyDescent="0.2">
      <c r="F413" s="4" t="str">
        <f>IF(LEN(TRIM(A413))=0,"",COUNTIFS(Students!H:H, A413))</f>
        <v/>
      </c>
      <c r="G413" s="4" t="str">
        <f>IF(LEN(TRIM(A413))=0,"",COUNTIFS(Students!H:H, A413, Students!D:D, "&lt;&gt;"))</f>
        <v/>
      </c>
      <c r="H413" s="4" t="str">
        <f t="shared" si="12"/>
        <v/>
      </c>
      <c r="I413" s="5" t="str">
        <f t="shared" si="13"/>
        <v/>
      </c>
    </row>
    <row r="414" spans="6:9" x14ac:dyDescent="0.2">
      <c r="F414" s="4" t="str">
        <f>IF(LEN(TRIM(A414))=0,"",COUNTIFS(Students!H:H, A414))</f>
        <v/>
      </c>
      <c r="G414" s="4" t="str">
        <f>IF(LEN(TRIM(A414))=0,"",COUNTIFS(Students!H:H, A414, Students!D:D, "&lt;&gt;"))</f>
        <v/>
      </c>
      <c r="H414" s="4" t="str">
        <f t="shared" si="12"/>
        <v/>
      </c>
      <c r="I414" s="5" t="str">
        <f t="shared" si="13"/>
        <v/>
      </c>
    </row>
    <row r="415" spans="6:9" x14ac:dyDescent="0.2">
      <c r="F415" s="4" t="str">
        <f>IF(LEN(TRIM(A415))=0,"",COUNTIFS(Students!H:H, A415))</f>
        <v/>
      </c>
      <c r="G415" s="4" t="str">
        <f>IF(LEN(TRIM(A415))=0,"",COUNTIFS(Students!H:H, A415, Students!D:D, "&lt;&gt;"))</f>
        <v/>
      </c>
      <c r="H415" s="4" t="str">
        <f t="shared" si="12"/>
        <v/>
      </c>
      <c r="I415" s="5" t="str">
        <f t="shared" si="13"/>
        <v/>
      </c>
    </row>
    <row r="416" spans="6:9" x14ac:dyDescent="0.2">
      <c r="F416" s="4" t="str">
        <f>IF(LEN(TRIM(A416))=0,"",COUNTIFS(Students!H:H, A416))</f>
        <v/>
      </c>
      <c r="G416" s="4" t="str">
        <f>IF(LEN(TRIM(A416))=0,"",COUNTIFS(Students!H:H, A416, Students!D:D, "&lt;&gt;"))</f>
        <v/>
      </c>
      <c r="H416" s="4" t="str">
        <f t="shared" si="12"/>
        <v/>
      </c>
      <c r="I416" s="5" t="str">
        <f t="shared" si="13"/>
        <v/>
      </c>
    </row>
    <row r="417" spans="6:9" x14ac:dyDescent="0.2">
      <c r="F417" s="4" t="str">
        <f>IF(LEN(TRIM(A417))=0,"",COUNTIFS(Students!H:H, A417))</f>
        <v/>
      </c>
      <c r="G417" s="4" t="str">
        <f>IF(LEN(TRIM(A417))=0,"",COUNTIFS(Students!H:H, A417, Students!D:D, "&lt;&gt;"))</f>
        <v/>
      </c>
      <c r="H417" s="4" t="str">
        <f t="shared" si="12"/>
        <v/>
      </c>
      <c r="I417" s="5" t="str">
        <f t="shared" si="13"/>
        <v/>
      </c>
    </row>
    <row r="418" spans="6:9" x14ac:dyDescent="0.2">
      <c r="F418" s="4" t="str">
        <f>IF(LEN(TRIM(A418))=0,"",COUNTIFS(Students!H:H, A418))</f>
        <v/>
      </c>
      <c r="G418" s="4" t="str">
        <f>IF(LEN(TRIM(A418))=0,"",COUNTIFS(Students!H:H, A418, Students!D:D, "&lt;&gt;"))</f>
        <v/>
      </c>
      <c r="H418" s="4" t="str">
        <f t="shared" si="12"/>
        <v/>
      </c>
      <c r="I418" s="5" t="str">
        <f t="shared" si="13"/>
        <v/>
      </c>
    </row>
    <row r="419" spans="6:9" x14ac:dyDescent="0.2">
      <c r="F419" s="4" t="str">
        <f>IF(LEN(TRIM(A419))=0,"",COUNTIFS(Students!H:H, A419))</f>
        <v/>
      </c>
      <c r="G419" s="4" t="str">
        <f>IF(LEN(TRIM(A419))=0,"",COUNTIFS(Students!H:H, A419, Students!D:D, "&lt;&gt;"))</f>
        <v/>
      </c>
      <c r="H419" s="4" t="str">
        <f t="shared" si="12"/>
        <v/>
      </c>
      <c r="I419" s="5" t="str">
        <f t="shared" si="13"/>
        <v/>
      </c>
    </row>
    <row r="420" spans="6:9" x14ac:dyDescent="0.2">
      <c r="F420" s="4" t="str">
        <f>IF(LEN(TRIM(A420))=0,"",COUNTIFS(Students!H:H, A420))</f>
        <v/>
      </c>
      <c r="G420" s="4" t="str">
        <f>IF(LEN(TRIM(A420))=0,"",COUNTIFS(Students!H:H, A420, Students!D:D, "&lt;&gt;"))</f>
        <v/>
      </c>
      <c r="H420" s="4" t="str">
        <f t="shared" si="12"/>
        <v/>
      </c>
      <c r="I420" s="5" t="str">
        <f t="shared" si="13"/>
        <v/>
      </c>
    </row>
    <row r="421" spans="6:9" x14ac:dyDescent="0.2">
      <c r="F421" s="4" t="str">
        <f>IF(LEN(TRIM(A421))=0,"",COUNTIFS(Students!H:H, A421))</f>
        <v/>
      </c>
      <c r="G421" s="4" t="str">
        <f>IF(LEN(TRIM(A421))=0,"",COUNTIFS(Students!H:H, A421, Students!D:D, "&lt;&gt;"))</f>
        <v/>
      </c>
      <c r="H421" s="4" t="str">
        <f t="shared" si="12"/>
        <v/>
      </c>
      <c r="I421" s="5" t="str">
        <f t="shared" si="13"/>
        <v/>
      </c>
    </row>
    <row r="422" spans="6:9" x14ac:dyDescent="0.2">
      <c r="F422" s="4" t="str">
        <f>IF(LEN(TRIM(A422))=0,"",COUNTIFS(Students!H:H, A422))</f>
        <v/>
      </c>
      <c r="G422" s="4" t="str">
        <f>IF(LEN(TRIM(A422))=0,"",COUNTIFS(Students!H:H, A422, Students!D:D, "&lt;&gt;"))</f>
        <v/>
      </c>
      <c r="H422" s="4" t="str">
        <f t="shared" si="12"/>
        <v/>
      </c>
      <c r="I422" s="5" t="str">
        <f t="shared" si="13"/>
        <v/>
      </c>
    </row>
    <row r="423" spans="6:9" x14ac:dyDescent="0.2">
      <c r="F423" s="4" t="str">
        <f>IF(LEN(TRIM(A423))=0,"",COUNTIFS(Students!H:H, A423))</f>
        <v/>
      </c>
      <c r="G423" s="4" t="str">
        <f>IF(LEN(TRIM(A423))=0,"",COUNTIFS(Students!H:H, A423, Students!D:D, "&lt;&gt;"))</f>
        <v/>
      </c>
      <c r="H423" s="4" t="str">
        <f t="shared" si="12"/>
        <v/>
      </c>
      <c r="I423" s="5" t="str">
        <f t="shared" si="13"/>
        <v/>
      </c>
    </row>
    <row r="424" spans="6:9" x14ac:dyDescent="0.2">
      <c r="F424" s="4" t="str">
        <f>IF(LEN(TRIM(A424))=0,"",COUNTIFS(Students!H:H, A424))</f>
        <v/>
      </c>
      <c r="G424" s="4" t="str">
        <f>IF(LEN(TRIM(A424))=0,"",COUNTIFS(Students!H:H, A424, Students!D:D, "&lt;&gt;"))</f>
        <v/>
      </c>
      <c r="H424" s="4" t="str">
        <f t="shared" si="12"/>
        <v/>
      </c>
      <c r="I424" s="5" t="str">
        <f t="shared" si="13"/>
        <v/>
      </c>
    </row>
    <row r="425" spans="6:9" x14ac:dyDescent="0.2">
      <c r="F425" s="4" t="str">
        <f>IF(LEN(TRIM(A425))=0,"",COUNTIFS(Students!H:H, A425))</f>
        <v/>
      </c>
      <c r="G425" s="4" t="str">
        <f>IF(LEN(TRIM(A425))=0,"",COUNTIFS(Students!H:H, A425, Students!D:D, "&lt;&gt;"))</f>
        <v/>
      </c>
      <c r="H425" s="4" t="str">
        <f t="shared" si="12"/>
        <v/>
      </c>
      <c r="I425" s="5" t="str">
        <f t="shared" si="13"/>
        <v/>
      </c>
    </row>
    <row r="426" spans="6:9" x14ac:dyDescent="0.2">
      <c r="F426" s="4" t="str">
        <f>IF(LEN(TRIM(A426))=0,"",COUNTIFS(Students!H:H, A426))</f>
        <v/>
      </c>
      <c r="G426" s="4" t="str">
        <f>IF(LEN(TRIM(A426))=0,"",COUNTIFS(Students!H:H, A426, Students!D:D, "&lt;&gt;"))</f>
        <v/>
      </c>
      <c r="H426" s="4" t="str">
        <f t="shared" si="12"/>
        <v/>
      </c>
      <c r="I426" s="5" t="str">
        <f t="shared" si="13"/>
        <v/>
      </c>
    </row>
    <row r="427" spans="6:9" x14ac:dyDescent="0.2">
      <c r="F427" s="4" t="str">
        <f>IF(LEN(TRIM(A427))=0,"",COUNTIFS(Students!H:H, A427))</f>
        <v/>
      </c>
      <c r="G427" s="4" t="str">
        <f>IF(LEN(TRIM(A427))=0,"",COUNTIFS(Students!H:H, A427, Students!D:D, "&lt;&gt;"))</f>
        <v/>
      </c>
      <c r="H427" s="4" t="str">
        <f t="shared" si="12"/>
        <v/>
      </c>
      <c r="I427" s="5" t="str">
        <f t="shared" si="13"/>
        <v/>
      </c>
    </row>
    <row r="428" spans="6:9" x14ac:dyDescent="0.2">
      <c r="F428" s="4" t="str">
        <f>IF(LEN(TRIM(A428))=0,"",COUNTIFS(Students!H:H, A428))</f>
        <v/>
      </c>
      <c r="G428" s="4" t="str">
        <f>IF(LEN(TRIM(A428))=0,"",COUNTIFS(Students!H:H, A428, Students!D:D, "&lt;&gt;"))</f>
        <v/>
      </c>
      <c r="H428" s="4" t="str">
        <f t="shared" si="12"/>
        <v/>
      </c>
      <c r="I428" s="5" t="str">
        <f t="shared" si="13"/>
        <v/>
      </c>
    </row>
    <row r="429" spans="6:9" x14ac:dyDescent="0.2">
      <c r="F429" s="4" t="str">
        <f>IF(LEN(TRIM(A429))=0,"",COUNTIFS(Students!H:H, A429))</f>
        <v/>
      </c>
      <c r="G429" s="4" t="str">
        <f>IF(LEN(TRIM(A429))=0,"",COUNTIFS(Students!H:H, A429, Students!D:D, "&lt;&gt;"))</f>
        <v/>
      </c>
      <c r="H429" s="4" t="str">
        <f t="shared" si="12"/>
        <v/>
      </c>
      <c r="I429" s="5" t="str">
        <f t="shared" si="13"/>
        <v/>
      </c>
    </row>
    <row r="430" spans="6:9" x14ac:dyDescent="0.2">
      <c r="F430" s="4" t="str">
        <f>IF(LEN(TRIM(A430))=0,"",COUNTIFS(Students!H:H, A430))</f>
        <v/>
      </c>
      <c r="G430" s="4" t="str">
        <f>IF(LEN(TRIM(A430))=0,"",COUNTIFS(Students!H:H, A430, Students!D:D, "&lt;&gt;"))</f>
        <v/>
      </c>
      <c r="H430" s="4" t="str">
        <f t="shared" si="12"/>
        <v/>
      </c>
      <c r="I430" s="5" t="str">
        <f t="shared" si="13"/>
        <v/>
      </c>
    </row>
    <row r="431" spans="6:9" x14ac:dyDescent="0.2">
      <c r="F431" s="4" t="str">
        <f>IF(LEN(TRIM(A431))=0,"",COUNTIFS(Students!H:H, A431))</f>
        <v/>
      </c>
      <c r="G431" s="4" t="str">
        <f>IF(LEN(TRIM(A431))=0,"",COUNTIFS(Students!H:H, A431, Students!D:D, "&lt;&gt;"))</f>
        <v/>
      </c>
      <c r="H431" s="4" t="str">
        <f t="shared" si="12"/>
        <v/>
      </c>
      <c r="I431" s="5" t="str">
        <f t="shared" si="13"/>
        <v/>
      </c>
    </row>
    <row r="432" spans="6:9" x14ac:dyDescent="0.2">
      <c r="F432" s="4" t="str">
        <f>IF(LEN(TRIM(A432))=0,"",COUNTIFS(Students!H:H, A432))</f>
        <v/>
      </c>
      <c r="G432" s="4" t="str">
        <f>IF(LEN(TRIM(A432))=0,"",COUNTIFS(Students!H:H, A432, Students!D:D, "&lt;&gt;"))</f>
        <v/>
      </c>
      <c r="H432" s="4" t="str">
        <f t="shared" si="12"/>
        <v/>
      </c>
      <c r="I432" s="5" t="str">
        <f t="shared" si="13"/>
        <v/>
      </c>
    </row>
    <row r="433" spans="6:9" x14ac:dyDescent="0.2">
      <c r="F433" s="4" t="str">
        <f>IF(LEN(TRIM(A433))=0,"",COUNTIFS(Students!H:H, A433))</f>
        <v/>
      </c>
      <c r="G433" s="4" t="str">
        <f>IF(LEN(TRIM(A433))=0,"",COUNTIFS(Students!H:H, A433, Students!D:D, "&lt;&gt;"))</f>
        <v/>
      </c>
      <c r="H433" s="4" t="str">
        <f t="shared" si="12"/>
        <v/>
      </c>
      <c r="I433" s="5" t="str">
        <f t="shared" si="13"/>
        <v/>
      </c>
    </row>
    <row r="434" spans="6:9" x14ac:dyDescent="0.2">
      <c r="F434" s="4" t="str">
        <f>IF(LEN(TRIM(A434))=0,"",COUNTIFS(Students!H:H, A434))</f>
        <v/>
      </c>
      <c r="G434" s="4" t="str">
        <f>IF(LEN(TRIM(A434))=0,"",COUNTIFS(Students!H:H, A434, Students!D:D, "&lt;&gt;"))</f>
        <v/>
      </c>
      <c r="H434" s="4" t="str">
        <f t="shared" si="12"/>
        <v/>
      </c>
      <c r="I434" s="5" t="str">
        <f t="shared" si="13"/>
        <v/>
      </c>
    </row>
    <row r="435" spans="6:9" x14ac:dyDescent="0.2">
      <c r="F435" s="4" t="str">
        <f>IF(LEN(TRIM(A435))=0,"",COUNTIFS(Students!H:H, A435))</f>
        <v/>
      </c>
      <c r="G435" s="4" t="str">
        <f>IF(LEN(TRIM(A435))=0,"",COUNTIFS(Students!H:H, A435, Students!D:D, "&lt;&gt;"))</f>
        <v/>
      </c>
      <c r="H435" s="4" t="str">
        <f t="shared" si="12"/>
        <v/>
      </c>
      <c r="I435" s="5" t="str">
        <f t="shared" si="13"/>
        <v/>
      </c>
    </row>
    <row r="436" spans="6:9" x14ac:dyDescent="0.2">
      <c r="F436" s="4" t="str">
        <f>IF(LEN(TRIM(A436))=0,"",COUNTIFS(Students!H:H, A436))</f>
        <v/>
      </c>
      <c r="G436" s="4" t="str">
        <f>IF(LEN(TRIM(A436))=0,"",COUNTIFS(Students!H:H, A436, Students!D:D, "&lt;&gt;"))</f>
        <v/>
      </c>
      <c r="H436" s="4" t="str">
        <f t="shared" si="12"/>
        <v/>
      </c>
      <c r="I436" s="5" t="str">
        <f t="shared" si="13"/>
        <v/>
      </c>
    </row>
    <row r="437" spans="6:9" x14ac:dyDescent="0.2">
      <c r="F437" s="4" t="str">
        <f>IF(LEN(TRIM(A437))=0,"",COUNTIFS(Students!H:H, A437))</f>
        <v/>
      </c>
      <c r="G437" s="4" t="str">
        <f>IF(LEN(TRIM(A437))=0,"",COUNTIFS(Students!H:H, A437, Students!D:D, "&lt;&gt;"))</f>
        <v/>
      </c>
      <c r="H437" s="4" t="str">
        <f t="shared" si="12"/>
        <v/>
      </c>
      <c r="I437" s="5" t="str">
        <f t="shared" si="13"/>
        <v/>
      </c>
    </row>
    <row r="438" spans="6:9" x14ac:dyDescent="0.2">
      <c r="F438" s="4" t="str">
        <f>IF(LEN(TRIM(A438))=0,"",COUNTIFS(Students!H:H, A438))</f>
        <v/>
      </c>
      <c r="G438" s="4" t="str">
        <f>IF(LEN(TRIM(A438))=0,"",COUNTIFS(Students!H:H, A438, Students!D:D, "&lt;&gt;"))</f>
        <v/>
      </c>
      <c r="H438" s="4" t="str">
        <f t="shared" si="12"/>
        <v/>
      </c>
      <c r="I438" s="5" t="str">
        <f t="shared" si="13"/>
        <v/>
      </c>
    </row>
    <row r="439" spans="6:9" x14ac:dyDescent="0.2">
      <c r="F439" s="4" t="str">
        <f>IF(LEN(TRIM(A439))=0,"",COUNTIFS(Students!H:H, A439))</f>
        <v/>
      </c>
      <c r="G439" s="4" t="str">
        <f>IF(LEN(TRIM(A439))=0,"",COUNTIFS(Students!H:H, A439, Students!D:D, "&lt;&gt;"))</f>
        <v/>
      </c>
      <c r="H439" s="4" t="str">
        <f t="shared" si="12"/>
        <v/>
      </c>
      <c r="I439" s="5" t="str">
        <f t="shared" si="13"/>
        <v/>
      </c>
    </row>
    <row r="440" spans="6:9" x14ac:dyDescent="0.2">
      <c r="F440" s="4" t="str">
        <f>IF(LEN(TRIM(A440))=0,"",COUNTIFS(Students!H:H, A440))</f>
        <v/>
      </c>
      <c r="G440" s="4" t="str">
        <f>IF(LEN(TRIM(A440))=0,"",COUNTIFS(Students!H:H, A440, Students!D:D, "&lt;&gt;"))</f>
        <v/>
      </c>
      <c r="H440" s="4" t="str">
        <f t="shared" si="12"/>
        <v/>
      </c>
      <c r="I440" s="5" t="str">
        <f t="shared" si="13"/>
        <v/>
      </c>
    </row>
    <row r="441" spans="6:9" x14ac:dyDescent="0.2">
      <c r="F441" s="4" t="str">
        <f>IF(LEN(TRIM(A441))=0,"",COUNTIFS(Students!H:H, A441))</f>
        <v/>
      </c>
      <c r="G441" s="4" t="str">
        <f>IF(LEN(TRIM(A441))=0,"",COUNTIFS(Students!H:H, A441, Students!D:D, "&lt;&gt;"))</f>
        <v/>
      </c>
      <c r="H441" s="4" t="str">
        <f t="shared" si="12"/>
        <v/>
      </c>
      <c r="I441" s="5" t="str">
        <f t="shared" si="13"/>
        <v/>
      </c>
    </row>
    <row r="442" spans="6:9" x14ac:dyDescent="0.2">
      <c r="F442" s="4" t="str">
        <f>IF(LEN(TRIM(A442))=0,"",COUNTIFS(Students!H:H, A442))</f>
        <v/>
      </c>
      <c r="G442" s="4" t="str">
        <f>IF(LEN(TRIM(A442))=0,"",COUNTIFS(Students!H:H, A442, Students!D:D, "&lt;&gt;"))</f>
        <v/>
      </c>
      <c r="H442" s="4" t="str">
        <f t="shared" si="12"/>
        <v/>
      </c>
      <c r="I442" s="5" t="str">
        <f t="shared" si="13"/>
        <v/>
      </c>
    </row>
    <row r="443" spans="6:9" x14ac:dyDescent="0.2">
      <c r="F443" s="4" t="str">
        <f>IF(LEN(TRIM(A443))=0,"",COUNTIFS(Students!H:H, A443))</f>
        <v/>
      </c>
      <c r="G443" s="4" t="str">
        <f>IF(LEN(TRIM(A443))=0,"",COUNTIFS(Students!H:H, A443, Students!D:D, "&lt;&gt;"))</f>
        <v/>
      </c>
      <c r="H443" s="4" t="str">
        <f t="shared" si="12"/>
        <v/>
      </c>
      <c r="I443" s="5" t="str">
        <f t="shared" si="13"/>
        <v/>
      </c>
    </row>
    <row r="444" spans="6:9" x14ac:dyDescent="0.2">
      <c r="F444" s="4" t="str">
        <f>IF(LEN(TRIM(A444))=0,"",COUNTIFS(Students!H:H, A444))</f>
        <v/>
      </c>
      <c r="G444" s="4" t="str">
        <f>IF(LEN(TRIM(A444))=0,"",COUNTIFS(Students!H:H, A444, Students!D:D, "&lt;&gt;"))</f>
        <v/>
      </c>
      <c r="H444" s="4" t="str">
        <f t="shared" si="12"/>
        <v/>
      </c>
      <c r="I444" s="5" t="str">
        <f t="shared" si="13"/>
        <v/>
      </c>
    </row>
    <row r="445" spans="6:9" x14ac:dyDescent="0.2">
      <c r="F445" s="4" t="str">
        <f>IF(LEN(TRIM(A445))=0,"",COUNTIFS(Students!H:H, A445))</f>
        <v/>
      </c>
      <c r="G445" s="4" t="str">
        <f>IF(LEN(TRIM(A445))=0,"",COUNTIFS(Students!H:H, A445, Students!D:D, "&lt;&gt;"))</f>
        <v/>
      </c>
      <c r="H445" s="4" t="str">
        <f t="shared" si="12"/>
        <v/>
      </c>
      <c r="I445" s="5" t="str">
        <f t="shared" si="13"/>
        <v/>
      </c>
    </row>
    <row r="446" spans="6:9" x14ac:dyDescent="0.2">
      <c r="F446" s="4" t="str">
        <f>IF(LEN(TRIM(A446))=0,"",COUNTIFS(Students!H:H, A446))</f>
        <v/>
      </c>
      <c r="G446" s="4" t="str">
        <f>IF(LEN(TRIM(A446))=0,"",COUNTIFS(Students!H:H, A446, Students!D:D, "&lt;&gt;"))</f>
        <v/>
      </c>
      <c r="H446" s="4" t="str">
        <f t="shared" si="12"/>
        <v/>
      </c>
      <c r="I446" s="5" t="str">
        <f t="shared" si="13"/>
        <v/>
      </c>
    </row>
    <row r="447" spans="6:9" x14ac:dyDescent="0.2">
      <c r="F447" s="4" t="str">
        <f>IF(LEN(TRIM(A447))=0,"",COUNTIFS(Students!H:H, A447))</f>
        <v/>
      </c>
      <c r="G447" s="4" t="str">
        <f>IF(LEN(TRIM(A447))=0,"",COUNTIFS(Students!H:H, A447, Students!D:D, "&lt;&gt;"))</f>
        <v/>
      </c>
      <c r="H447" s="4" t="str">
        <f t="shared" si="12"/>
        <v/>
      </c>
      <c r="I447" s="5" t="str">
        <f t="shared" si="13"/>
        <v/>
      </c>
    </row>
    <row r="448" spans="6:9" x14ac:dyDescent="0.2">
      <c r="F448" s="4" t="str">
        <f>IF(LEN(TRIM(A448))=0,"",COUNTIFS(Students!H:H, A448))</f>
        <v/>
      </c>
      <c r="G448" s="4" t="str">
        <f>IF(LEN(TRIM(A448))=0,"",COUNTIFS(Students!H:H, A448, Students!D:D, "&lt;&gt;"))</f>
        <v/>
      </c>
      <c r="H448" s="4" t="str">
        <f t="shared" si="12"/>
        <v/>
      </c>
      <c r="I448" s="5" t="str">
        <f t="shared" si="13"/>
        <v/>
      </c>
    </row>
    <row r="449" spans="6:9" x14ac:dyDescent="0.2">
      <c r="F449" s="4" t="str">
        <f>IF(LEN(TRIM(A449))=0,"",COUNTIFS(Students!H:H, A449))</f>
        <v/>
      </c>
      <c r="G449" s="4" t="str">
        <f>IF(LEN(TRIM(A449))=0,"",COUNTIFS(Students!H:H, A449, Students!D:D, "&lt;&gt;"))</f>
        <v/>
      </c>
      <c r="H449" s="4" t="str">
        <f t="shared" si="12"/>
        <v/>
      </c>
      <c r="I449" s="5" t="str">
        <f t="shared" si="13"/>
        <v/>
      </c>
    </row>
    <row r="450" spans="6:9" x14ac:dyDescent="0.2">
      <c r="F450" s="4" t="str">
        <f>IF(LEN(TRIM(A450))=0,"",COUNTIFS(Students!H:H, A450))</f>
        <v/>
      </c>
      <c r="G450" s="4" t="str">
        <f>IF(LEN(TRIM(A450))=0,"",COUNTIFS(Students!H:H, A450, Students!D:D, "&lt;&gt;"))</f>
        <v/>
      </c>
      <c r="H450" s="4" t="str">
        <f t="shared" si="12"/>
        <v/>
      </c>
      <c r="I450" s="5" t="str">
        <f t="shared" si="13"/>
        <v/>
      </c>
    </row>
    <row r="451" spans="6:9" x14ac:dyDescent="0.2">
      <c r="F451" s="4" t="str">
        <f>IF(LEN(TRIM(A451))=0,"",COUNTIFS(Students!H:H, A451))</f>
        <v/>
      </c>
      <c r="G451" s="4" t="str">
        <f>IF(LEN(TRIM(A451))=0,"",COUNTIFS(Students!H:H, A451, Students!D:D, "&lt;&gt;"))</f>
        <v/>
      </c>
      <c r="H451" s="4" t="str">
        <f t="shared" ref="H451:H514" si="14">IFERROR(F451-G451,"")</f>
        <v/>
      </c>
      <c r="I451" s="5" t="str">
        <f t="shared" ref="I451:I514" si="15">IFERROR(IF(F451=0, "N/A", G451/F451),"")</f>
        <v/>
      </c>
    </row>
    <row r="452" spans="6:9" x14ac:dyDescent="0.2">
      <c r="F452" s="4" t="str">
        <f>IF(LEN(TRIM(A452))=0,"",COUNTIFS(Students!H:H, A452))</f>
        <v/>
      </c>
      <c r="G452" s="4" t="str">
        <f>IF(LEN(TRIM(A452))=0,"",COUNTIFS(Students!H:H, A452, Students!D:D, "&lt;&gt;"))</f>
        <v/>
      </c>
      <c r="H452" s="4" t="str">
        <f t="shared" si="14"/>
        <v/>
      </c>
      <c r="I452" s="5" t="str">
        <f t="shared" si="15"/>
        <v/>
      </c>
    </row>
    <row r="453" spans="6:9" x14ac:dyDescent="0.2">
      <c r="F453" s="4" t="str">
        <f>IF(LEN(TRIM(A453))=0,"",COUNTIFS(Students!H:H, A453))</f>
        <v/>
      </c>
      <c r="G453" s="4" t="str">
        <f>IF(LEN(TRIM(A453))=0,"",COUNTIFS(Students!H:H, A453, Students!D:D, "&lt;&gt;"))</f>
        <v/>
      </c>
      <c r="H453" s="4" t="str">
        <f t="shared" si="14"/>
        <v/>
      </c>
      <c r="I453" s="5" t="str">
        <f t="shared" si="15"/>
        <v/>
      </c>
    </row>
    <row r="454" spans="6:9" x14ac:dyDescent="0.2">
      <c r="F454" s="4" t="str">
        <f>IF(LEN(TRIM(A454))=0,"",COUNTIFS(Students!H:H, A454))</f>
        <v/>
      </c>
      <c r="G454" s="4" t="str">
        <f>IF(LEN(TRIM(A454))=0,"",COUNTIFS(Students!H:H, A454, Students!D:D, "&lt;&gt;"))</f>
        <v/>
      </c>
      <c r="H454" s="4" t="str">
        <f t="shared" si="14"/>
        <v/>
      </c>
      <c r="I454" s="5" t="str">
        <f t="shared" si="15"/>
        <v/>
      </c>
    </row>
    <row r="455" spans="6:9" x14ac:dyDescent="0.2">
      <c r="F455" s="4" t="str">
        <f>IF(LEN(TRIM(A455))=0,"",COUNTIFS(Students!H:H, A455))</f>
        <v/>
      </c>
      <c r="G455" s="4" t="str">
        <f>IF(LEN(TRIM(A455))=0,"",COUNTIFS(Students!H:H, A455, Students!D:D, "&lt;&gt;"))</f>
        <v/>
      </c>
      <c r="H455" s="4" t="str">
        <f t="shared" si="14"/>
        <v/>
      </c>
      <c r="I455" s="5" t="str">
        <f t="shared" si="15"/>
        <v/>
      </c>
    </row>
    <row r="456" spans="6:9" x14ac:dyDescent="0.2">
      <c r="F456" s="4" t="str">
        <f>IF(LEN(TRIM(A456))=0,"",COUNTIFS(Students!H:H, A456))</f>
        <v/>
      </c>
      <c r="G456" s="4" t="str">
        <f>IF(LEN(TRIM(A456))=0,"",COUNTIFS(Students!H:H, A456, Students!D:D, "&lt;&gt;"))</f>
        <v/>
      </c>
      <c r="H456" s="4" t="str">
        <f t="shared" si="14"/>
        <v/>
      </c>
      <c r="I456" s="5" t="str">
        <f t="shared" si="15"/>
        <v/>
      </c>
    </row>
    <row r="457" spans="6:9" x14ac:dyDescent="0.2">
      <c r="F457" s="4" t="str">
        <f>IF(LEN(TRIM(A457))=0,"",COUNTIFS(Students!H:H, A457))</f>
        <v/>
      </c>
      <c r="G457" s="4" t="str">
        <f>IF(LEN(TRIM(A457))=0,"",COUNTIFS(Students!H:H, A457, Students!D:D, "&lt;&gt;"))</f>
        <v/>
      </c>
      <c r="H457" s="4" t="str">
        <f t="shared" si="14"/>
        <v/>
      </c>
      <c r="I457" s="5" t="str">
        <f t="shared" si="15"/>
        <v/>
      </c>
    </row>
    <row r="458" spans="6:9" x14ac:dyDescent="0.2">
      <c r="F458" s="4" t="str">
        <f>IF(LEN(TRIM(A458))=0,"",COUNTIFS(Students!H:H, A458))</f>
        <v/>
      </c>
      <c r="G458" s="4" t="str">
        <f>IF(LEN(TRIM(A458))=0,"",COUNTIFS(Students!H:H, A458, Students!D:D, "&lt;&gt;"))</f>
        <v/>
      </c>
      <c r="H458" s="4" t="str">
        <f t="shared" si="14"/>
        <v/>
      </c>
      <c r="I458" s="5" t="str">
        <f t="shared" si="15"/>
        <v/>
      </c>
    </row>
    <row r="459" spans="6:9" x14ac:dyDescent="0.2">
      <c r="F459" s="4" t="str">
        <f>IF(LEN(TRIM(A459))=0,"",COUNTIFS(Students!H:H, A459))</f>
        <v/>
      </c>
      <c r="G459" s="4" t="str">
        <f>IF(LEN(TRIM(A459))=0,"",COUNTIFS(Students!H:H, A459, Students!D:D, "&lt;&gt;"))</f>
        <v/>
      </c>
      <c r="H459" s="4" t="str">
        <f t="shared" si="14"/>
        <v/>
      </c>
      <c r="I459" s="5" t="str">
        <f t="shared" si="15"/>
        <v/>
      </c>
    </row>
    <row r="460" spans="6:9" x14ac:dyDescent="0.2">
      <c r="F460" s="4" t="str">
        <f>IF(LEN(TRIM(A460))=0,"",COUNTIFS(Students!H:H, A460))</f>
        <v/>
      </c>
      <c r="G460" s="4" t="str">
        <f>IF(LEN(TRIM(A460))=0,"",COUNTIFS(Students!H:H, A460, Students!D:D, "&lt;&gt;"))</f>
        <v/>
      </c>
      <c r="H460" s="4" t="str">
        <f t="shared" si="14"/>
        <v/>
      </c>
      <c r="I460" s="5" t="str">
        <f t="shared" si="15"/>
        <v/>
      </c>
    </row>
    <row r="461" spans="6:9" x14ac:dyDescent="0.2">
      <c r="F461" s="4" t="str">
        <f>IF(LEN(TRIM(A461))=0,"",COUNTIFS(Students!H:H, A461))</f>
        <v/>
      </c>
      <c r="G461" s="4" t="str">
        <f>IF(LEN(TRIM(A461))=0,"",COUNTIFS(Students!H:H, A461, Students!D:D, "&lt;&gt;"))</f>
        <v/>
      </c>
      <c r="H461" s="4" t="str">
        <f t="shared" si="14"/>
        <v/>
      </c>
      <c r="I461" s="5" t="str">
        <f t="shared" si="15"/>
        <v/>
      </c>
    </row>
    <row r="462" spans="6:9" x14ac:dyDescent="0.2">
      <c r="F462" s="4" t="str">
        <f>IF(LEN(TRIM(A462))=0,"",COUNTIFS(Students!H:H, A462))</f>
        <v/>
      </c>
      <c r="G462" s="4" t="str">
        <f>IF(LEN(TRIM(A462))=0,"",COUNTIFS(Students!H:H, A462, Students!D:D, "&lt;&gt;"))</f>
        <v/>
      </c>
      <c r="H462" s="4" t="str">
        <f t="shared" si="14"/>
        <v/>
      </c>
      <c r="I462" s="5" t="str">
        <f t="shared" si="15"/>
        <v/>
      </c>
    </row>
    <row r="463" spans="6:9" x14ac:dyDescent="0.2">
      <c r="F463" s="4" t="str">
        <f>IF(LEN(TRIM(A463))=0,"",COUNTIFS(Students!H:H, A463))</f>
        <v/>
      </c>
      <c r="G463" s="4" t="str">
        <f>IF(LEN(TRIM(A463))=0,"",COUNTIFS(Students!H:H, A463, Students!D:D, "&lt;&gt;"))</f>
        <v/>
      </c>
      <c r="H463" s="4" t="str">
        <f t="shared" si="14"/>
        <v/>
      </c>
      <c r="I463" s="5" t="str">
        <f t="shared" si="15"/>
        <v/>
      </c>
    </row>
    <row r="464" spans="6:9" x14ac:dyDescent="0.2">
      <c r="F464" s="4" t="str">
        <f>IF(LEN(TRIM(A464))=0,"",COUNTIFS(Students!H:H, A464))</f>
        <v/>
      </c>
      <c r="G464" s="4" t="str">
        <f>IF(LEN(TRIM(A464))=0,"",COUNTIFS(Students!H:H, A464, Students!D:D, "&lt;&gt;"))</f>
        <v/>
      </c>
      <c r="H464" s="4" t="str">
        <f t="shared" si="14"/>
        <v/>
      </c>
      <c r="I464" s="5" t="str">
        <f t="shared" si="15"/>
        <v/>
      </c>
    </row>
    <row r="465" spans="6:9" x14ac:dyDescent="0.2">
      <c r="F465" s="4" t="str">
        <f>IF(LEN(TRIM(A465))=0,"",COUNTIFS(Students!H:H, A465))</f>
        <v/>
      </c>
      <c r="G465" s="4" t="str">
        <f>IF(LEN(TRIM(A465))=0,"",COUNTIFS(Students!H:H, A465, Students!D:D, "&lt;&gt;"))</f>
        <v/>
      </c>
      <c r="H465" s="4" t="str">
        <f t="shared" si="14"/>
        <v/>
      </c>
      <c r="I465" s="5" t="str">
        <f t="shared" si="15"/>
        <v/>
      </c>
    </row>
    <row r="466" spans="6:9" x14ac:dyDescent="0.2">
      <c r="F466" s="4" t="str">
        <f>IF(LEN(TRIM(A466))=0,"",COUNTIFS(Students!H:H, A466))</f>
        <v/>
      </c>
      <c r="G466" s="4" t="str">
        <f>IF(LEN(TRIM(A466))=0,"",COUNTIFS(Students!H:H, A466, Students!D:D, "&lt;&gt;"))</f>
        <v/>
      </c>
      <c r="H466" s="4" t="str">
        <f t="shared" si="14"/>
        <v/>
      </c>
      <c r="I466" s="5" t="str">
        <f t="shared" si="15"/>
        <v/>
      </c>
    </row>
    <row r="467" spans="6:9" x14ac:dyDescent="0.2">
      <c r="F467" s="4" t="str">
        <f>IF(LEN(TRIM(A467))=0,"",COUNTIFS(Students!H:H, A467))</f>
        <v/>
      </c>
      <c r="G467" s="4" t="str">
        <f>IF(LEN(TRIM(A467))=0,"",COUNTIFS(Students!H:H, A467, Students!D:D, "&lt;&gt;"))</f>
        <v/>
      </c>
      <c r="H467" s="4" t="str">
        <f t="shared" si="14"/>
        <v/>
      </c>
      <c r="I467" s="5" t="str">
        <f t="shared" si="15"/>
        <v/>
      </c>
    </row>
    <row r="468" spans="6:9" x14ac:dyDescent="0.2">
      <c r="F468" s="4" t="str">
        <f>IF(LEN(TRIM(A468))=0,"",COUNTIFS(Students!H:H, A468))</f>
        <v/>
      </c>
      <c r="G468" s="4" t="str">
        <f>IF(LEN(TRIM(A468))=0,"",COUNTIFS(Students!H:H, A468, Students!D:D, "&lt;&gt;"))</f>
        <v/>
      </c>
      <c r="H468" s="4" t="str">
        <f t="shared" si="14"/>
        <v/>
      </c>
      <c r="I468" s="5" t="str">
        <f t="shared" si="15"/>
        <v/>
      </c>
    </row>
    <row r="469" spans="6:9" x14ac:dyDescent="0.2">
      <c r="F469" s="4" t="str">
        <f>IF(LEN(TRIM(A469))=0,"",COUNTIFS(Students!H:H, A469))</f>
        <v/>
      </c>
      <c r="G469" s="4" t="str">
        <f>IF(LEN(TRIM(A469))=0,"",COUNTIFS(Students!H:H, A469, Students!D:D, "&lt;&gt;"))</f>
        <v/>
      </c>
      <c r="H469" s="4" t="str">
        <f t="shared" si="14"/>
        <v/>
      </c>
      <c r="I469" s="5" t="str">
        <f t="shared" si="15"/>
        <v/>
      </c>
    </row>
    <row r="470" spans="6:9" x14ac:dyDescent="0.2">
      <c r="F470" s="4" t="str">
        <f>IF(LEN(TRIM(A470))=0,"",COUNTIFS(Students!H:H, A470))</f>
        <v/>
      </c>
      <c r="G470" s="4" t="str">
        <f>IF(LEN(TRIM(A470))=0,"",COUNTIFS(Students!H:H, A470, Students!D:D, "&lt;&gt;"))</f>
        <v/>
      </c>
      <c r="H470" s="4" t="str">
        <f t="shared" si="14"/>
        <v/>
      </c>
      <c r="I470" s="5" t="str">
        <f t="shared" si="15"/>
        <v/>
      </c>
    </row>
    <row r="471" spans="6:9" x14ac:dyDescent="0.2">
      <c r="F471" s="4" t="str">
        <f>IF(LEN(TRIM(A471))=0,"",COUNTIFS(Students!H:H, A471))</f>
        <v/>
      </c>
      <c r="G471" s="4" t="str">
        <f>IF(LEN(TRIM(A471))=0,"",COUNTIFS(Students!H:H, A471, Students!D:D, "&lt;&gt;"))</f>
        <v/>
      </c>
      <c r="H471" s="4" t="str">
        <f t="shared" si="14"/>
        <v/>
      </c>
      <c r="I471" s="5" t="str">
        <f t="shared" si="15"/>
        <v/>
      </c>
    </row>
    <row r="472" spans="6:9" x14ac:dyDescent="0.2">
      <c r="F472" s="4" t="str">
        <f>IF(LEN(TRIM(A472))=0,"",COUNTIFS(Students!H:H, A472))</f>
        <v/>
      </c>
      <c r="G472" s="4" t="str">
        <f>IF(LEN(TRIM(A472))=0,"",COUNTIFS(Students!H:H, A472, Students!D:D, "&lt;&gt;"))</f>
        <v/>
      </c>
      <c r="H472" s="4" t="str">
        <f t="shared" si="14"/>
        <v/>
      </c>
      <c r="I472" s="5" t="str">
        <f t="shared" si="15"/>
        <v/>
      </c>
    </row>
    <row r="473" spans="6:9" x14ac:dyDescent="0.2">
      <c r="F473" s="4" t="str">
        <f>IF(LEN(TRIM(A473))=0,"",COUNTIFS(Students!H:H, A473))</f>
        <v/>
      </c>
      <c r="G473" s="4" t="str">
        <f>IF(LEN(TRIM(A473))=0,"",COUNTIFS(Students!H:H, A473, Students!D:D, "&lt;&gt;"))</f>
        <v/>
      </c>
      <c r="H473" s="4" t="str">
        <f t="shared" si="14"/>
        <v/>
      </c>
      <c r="I473" s="5" t="str">
        <f t="shared" si="15"/>
        <v/>
      </c>
    </row>
    <row r="474" spans="6:9" x14ac:dyDescent="0.2">
      <c r="F474" s="4" t="str">
        <f>IF(LEN(TRIM(A474))=0,"",COUNTIFS(Students!H:H, A474))</f>
        <v/>
      </c>
      <c r="G474" s="4" t="str">
        <f>IF(LEN(TRIM(A474))=0,"",COUNTIFS(Students!H:H, A474, Students!D:D, "&lt;&gt;"))</f>
        <v/>
      </c>
      <c r="H474" s="4" t="str">
        <f t="shared" si="14"/>
        <v/>
      </c>
      <c r="I474" s="5" t="str">
        <f t="shared" si="15"/>
        <v/>
      </c>
    </row>
    <row r="475" spans="6:9" x14ac:dyDescent="0.2">
      <c r="F475" s="4" t="str">
        <f>IF(LEN(TRIM(A475))=0,"",COUNTIFS(Students!H:H, A475))</f>
        <v/>
      </c>
      <c r="G475" s="4" t="str">
        <f>IF(LEN(TRIM(A475))=0,"",COUNTIFS(Students!H:H, A475, Students!D:D, "&lt;&gt;"))</f>
        <v/>
      </c>
      <c r="H475" s="4" t="str">
        <f t="shared" si="14"/>
        <v/>
      </c>
      <c r="I475" s="5" t="str">
        <f t="shared" si="15"/>
        <v/>
      </c>
    </row>
    <row r="476" spans="6:9" x14ac:dyDescent="0.2">
      <c r="F476" s="4" t="str">
        <f>IF(LEN(TRIM(A476))=0,"",COUNTIFS(Students!H:H, A476))</f>
        <v/>
      </c>
      <c r="G476" s="4" t="str">
        <f>IF(LEN(TRIM(A476))=0,"",COUNTIFS(Students!H:H, A476, Students!D:D, "&lt;&gt;"))</f>
        <v/>
      </c>
      <c r="H476" s="4" t="str">
        <f t="shared" si="14"/>
        <v/>
      </c>
      <c r="I476" s="5" t="str">
        <f t="shared" si="15"/>
        <v/>
      </c>
    </row>
    <row r="477" spans="6:9" x14ac:dyDescent="0.2">
      <c r="F477" s="4" t="str">
        <f>IF(LEN(TRIM(A477))=0,"",COUNTIFS(Students!H:H, A477))</f>
        <v/>
      </c>
      <c r="G477" s="4" t="str">
        <f>IF(LEN(TRIM(A477))=0,"",COUNTIFS(Students!H:H, A477, Students!D:D, "&lt;&gt;"))</f>
        <v/>
      </c>
      <c r="H477" s="4" t="str">
        <f t="shared" si="14"/>
        <v/>
      </c>
      <c r="I477" s="5" t="str">
        <f t="shared" si="15"/>
        <v/>
      </c>
    </row>
    <row r="478" spans="6:9" x14ac:dyDescent="0.2">
      <c r="F478" s="4" t="str">
        <f>IF(LEN(TRIM(A478))=0,"",COUNTIFS(Students!H:H, A478))</f>
        <v/>
      </c>
      <c r="G478" s="4" t="str">
        <f>IF(LEN(TRIM(A478))=0,"",COUNTIFS(Students!H:H, A478, Students!D:D, "&lt;&gt;"))</f>
        <v/>
      </c>
      <c r="H478" s="4" t="str">
        <f t="shared" si="14"/>
        <v/>
      </c>
      <c r="I478" s="5" t="str">
        <f t="shared" si="15"/>
        <v/>
      </c>
    </row>
    <row r="479" spans="6:9" x14ac:dyDescent="0.2">
      <c r="F479" s="4" t="str">
        <f>IF(LEN(TRIM(A479))=0,"",COUNTIFS(Students!H:H, A479))</f>
        <v/>
      </c>
      <c r="G479" s="4" t="str">
        <f>IF(LEN(TRIM(A479))=0,"",COUNTIFS(Students!H:H, A479, Students!D:D, "&lt;&gt;"))</f>
        <v/>
      </c>
      <c r="H479" s="4" t="str">
        <f t="shared" si="14"/>
        <v/>
      </c>
      <c r="I479" s="5" t="str">
        <f t="shared" si="15"/>
        <v/>
      </c>
    </row>
    <row r="480" spans="6:9" x14ac:dyDescent="0.2">
      <c r="F480" s="4" t="str">
        <f>IF(LEN(TRIM(A480))=0,"",COUNTIFS(Students!H:H, A480))</f>
        <v/>
      </c>
      <c r="G480" s="4" t="str">
        <f>IF(LEN(TRIM(A480))=0,"",COUNTIFS(Students!H:H, A480, Students!D:D, "&lt;&gt;"))</f>
        <v/>
      </c>
      <c r="H480" s="4" t="str">
        <f t="shared" si="14"/>
        <v/>
      </c>
      <c r="I480" s="5" t="str">
        <f t="shared" si="15"/>
        <v/>
      </c>
    </row>
    <row r="481" spans="6:9" x14ac:dyDescent="0.2">
      <c r="F481" s="4" t="str">
        <f>IF(LEN(TRIM(A481))=0,"",COUNTIFS(Students!H:H, A481))</f>
        <v/>
      </c>
      <c r="G481" s="4" t="str">
        <f>IF(LEN(TRIM(A481))=0,"",COUNTIFS(Students!H:H, A481, Students!D:D, "&lt;&gt;"))</f>
        <v/>
      </c>
      <c r="H481" s="4" t="str">
        <f t="shared" si="14"/>
        <v/>
      </c>
      <c r="I481" s="5" t="str">
        <f t="shared" si="15"/>
        <v/>
      </c>
    </row>
    <row r="482" spans="6:9" x14ac:dyDescent="0.2">
      <c r="F482" s="4" t="str">
        <f>IF(LEN(TRIM(A482))=0,"",COUNTIFS(Students!H:H, A482))</f>
        <v/>
      </c>
      <c r="G482" s="4" t="str">
        <f>IF(LEN(TRIM(A482))=0,"",COUNTIFS(Students!H:H, A482, Students!D:D, "&lt;&gt;"))</f>
        <v/>
      </c>
      <c r="H482" s="4" t="str">
        <f t="shared" si="14"/>
        <v/>
      </c>
      <c r="I482" s="5" t="str">
        <f t="shared" si="15"/>
        <v/>
      </c>
    </row>
    <row r="483" spans="6:9" x14ac:dyDescent="0.2">
      <c r="F483" s="4" t="str">
        <f>IF(LEN(TRIM(A483))=0,"",COUNTIFS(Students!H:H, A483))</f>
        <v/>
      </c>
      <c r="G483" s="4" t="str">
        <f>IF(LEN(TRIM(A483))=0,"",COUNTIFS(Students!H:H, A483, Students!D:D, "&lt;&gt;"))</f>
        <v/>
      </c>
      <c r="H483" s="4" t="str">
        <f t="shared" si="14"/>
        <v/>
      </c>
      <c r="I483" s="5" t="str">
        <f t="shared" si="15"/>
        <v/>
      </c>
    </row>
    <row r="484" spans="6:9" x14ac:dyDescent="0.2">
      <c r="F484" s="4" t="str">
        <f>IF(LEN(TRIM(A484))=0,"",COUNTIFS(Students!H:H, A484))</f>
        <v/>
      </c>
      <c r="G484" s="4" t="str">
        <f>IF(LEN(TRIM(A484))=0,"",COUNTIFS(Students!H:H, A484, Students!D:D, "&lt;&gt;"))</f>
        <v/>
      </c>
      <c r="H484" s="4" t="str">
        <f t="shared" si="14"/>
        <v/>
      </c>
      <c r="I484" s="5" t="str">
        <f t="shared" si="15"/>
        <v/>
      </c>
    </row>
    <row r="485" spans="6:9" x14ac:dyDescent="0.2">
      <c r="F485" s="4" t="str">
        <f>IF(LEN(TRIM(A485))=0,"",COUNTIFS(Students!H:H, A485))</f>
        <v/>
      </c>
      <c r="G485" s="4" t="str">
        <f>IF(LEN(TRIM(A485))=0,"",COUNTIFS(Students!H:H, A485, Students!D:D, "&lt;&gt;"))</f>
        <v/>
      </c>
      <c r="H485" s="4" t="str">
        <f t="shared" si="14"/>
        <v/>
      </c>
      <c r="I485" s="5" t="str">
        <f t="shared" si="15"/>
        <v/>
      </c>
    </row>
    <row r="486" spans="6:9" x14ac:dyDescent="0.2">
      <c r="F486" s="4" t="str">
        <f>IF(LEN(TRIM(A486))=0,"",COUNTIFS(Students!H:H, A486))</f>
        <v/>
      </c>
      <c r="G486" s="4" t="str">
        <f>IF(LEN(TRIM(A486))=0,"",COUNTIFS(Students!H:H, A486, Students!D:D, "&lt;&gt;"))</f>
        <v/>
      </c>
      <c r="H486" s="4" t="str">
        <f t="shared" si="14"/>
        <v/>
      </c>
      <c r="I486" s="5" t="str">
        <f t="shared" si="15"/>
        <v/>
      </c>
    </row>
    <row r="487" spans="6:9" x14ac:dyDescent="0.2">
      <c r="F487" s="4" t="str">
        <f>IF(LEN(TRIM(A487))=0,"",COUNTIFS(Students!H:H, A487))</f>
        <v/>
      </c>
      <c r="G487" s="4" t="str">
        <f>IF(LEN(TRIM(A487))=0,"",COUNTIFS(Students!H:H, A487, Students!D:D, "&lt;&gt;"))</f>
        <v/>
      </c>
      <c r="H487" s="4" t="str">
        <f t="shared" si="14"/>
        <v/>
      </c>
      <c r="I487" s="5" t="str">
        <f t="shared" si="15"/>
        <v/>
      </c>
    </row>
    <row r="488" spans="6:9" x14ac:dyDescent="0.2">
      <c r="F488" s="4" t="str">
        <f>IF(LEN(TRIM(A488))=0,"",COUNTIFS(Students!H:H, A488))</f>
        <v/>
      </c>
      <c r="G488" s="4" t="str">
        <f>IF(LEN(TRIM(A488))=0,"",COUNTIFS(Students!H:H, A488, Students!D:D, "&lt;&gt;"))</f>
        <v/>
      </c>
      <c r="H488" s="4" t="str">
        <f t="shared" si="14"/>
        <v/>
      </c>
      <c r="I488" s="5" t="str">
        <f t="shared" si="15"/>
        <v/>
      </c>
    </row>
    <row r="489" spans="6:9" x14ac:dyDescent="0.2">
      <c r="F489" s="4" t="str">
        <f>IF(LEN(TRIM(A489))=0,"",COUNTIFS(Students!H:H, A489))</f>
        <v/>
      </c>
      <c r="G489" s="4" t="str">
        <f>IF(LEN(TRIM(A489))=0,"",COUNTIFS(Students!H:H, A489, Students!D:D, "&lt;&gt;"))</f>
        <v/>
      </c>
      <c r="H489" s="4" t="str">
        <f t="shared" si="14"/>
        <v/>
      </c>
      <c r="I489" s="5" t="str">
        <f t="shared" si="15"/>
        <v/>
      </c>
    </row>
    <row r="490" spans="6:9" x14ac:dyDescent="0.2">
      <c r="F490" s="4" t="str">
        <f>IF(LEN(TRIM(A490))=0,"",COUNTIFS(Students!H:H, A490))</f>
        <v/>
      </c>
      <c r="G490" s="4" t="str">
        <f>IF(LEN(TRIM(A490))=0,"",COUNTIFS(Students!H:H, A490, Students!D:D, "&lt;&gt;"))</f>
        <v/>
      </c>
      <c r="H490" s="4" t="str">
        <f t="shared" si="14"/>
        <v/>
      </c>
      <c r="I490" s="5" t="str">
        <f t="shared" si="15"/>
        <v/>
      </c>
    </row>
    <row r="491" spans="6:9" x14ac:dyDescent="0.2">
      <c r="F491" s="4" t="str">
        <f>IF(LEN(TRIM(A491))=0,"",COUNTIFS(Students!H:H, A491))</f>
        <v/>
      </c>
      <c r="G491" s="4" t="str">
        <f>IF(LEN(TRIM(A491))=0,"",COUNTIFS(Students!H:H, A491, Students!D:D, "&lt;&gt;"))</f>
        <v/>
      </c>
      <c r="H491" s="4" t="str">
        <f t="shared" si="14"/>
        <v/>
      </c>
      <c r="I491" s="5" t="str">
        <f t="shared" si="15"/>
        <v/>
      </c>
    </row>
    <row r="492" spans="6:9" x14ac:dyDescent="0.2">
      <c r="F492" s="4" t="str">
        <f>IF(LEN(TRIM(A492))=0,"",COUNTIFS(Students!H:H, A492))</f>
        <v/>
      </c>
      <c r="G492" s="4" t="str">
        <f>IF(LEN(TRIM(A492))=0,"",COUNTIFS(Students!H:H, A492, Students!D:D, "&lt;&gt;"))</f>
        <v/>
      </c>
      <c r="H492" s="4" t="str">
        <f t="shared" si="14"/>
        <v/>
      </c>
      <c r="I492" s="5" t="str">
        <f t="shared" si="15"/>
        <v/>
      </c>
    </row>
    <row r="493" spans="6:9" x14ac:dyDescent="0.2">
      <c r="F493" s="4" t="str">
        <f>IF(LEN(TRIM(A493))=0,"",COUNTIFS(Students!H:H, A493))</f>
        <v/>
      </c>
      <c r="G493" s="4" t="str">
        <f>IF(LEN(TRIM(A493))=0,"",COUNTIFS(Students!H:H, A493, Students!D:D, "&lt;&gt;"))</f>
        <v/>
      </c>
      <c r="H493" s="4" t="str">
        <f t="shared" si="14"/>
        <v/>
      </c>
      <c r="I493" s="5" t="str">
        <f t="shared" si="15"/>
        <v/>
      </c>
    </row>
    <row r="494" spans="6:9" x14ac:dyDescent="0.2">
      <c r="F494" s="4" t="str">
        <f>IF(LEN(TRIM(A494))=0,"",COUNTIFS(Students!H:H, A494))</f>
        <v/>
      </c>
      <c r="G494" s="4" t="str">
        <f>IF(LEN(TRIM(A494))=0,"",COUNTIFS(Students!H:H, A494, Students!D:D, "&lt;&gt;"))</f>
        <v/>
      </c>
      <c r="H494" s="4" t="str">
        <f t="shared" si="14"/>
        <v/>
      </c>
      <c r="I494" s="5" t="str">
        <f t="shared" si="15"/>
        <v/>
      </c>
    </row>
    <row r="495" spans="6:9" x14ac:dyDescent="0.2">
      <c r="F495" s="4" t="str">
        <f>IF(LEN(TRIM(A495))=0,"",COUNTIFS(Students!H:H, A495))</f>
        <v/>
      </c>
      <c r="G495" s="4" t="str">
        <f>IF(LEN(TRIM(A495))=0,"",COUNTIFS(Students!H:H, A495, Students!D:D, "&lt;&gt;"))</f>
        <v/>
      </c>
      <c r="H495" s="4" t="str">
        <f t="shared" si="14"/>
        <v/>
      </c>
      <c r="I495" s="5" t="str">
        <f t="shared" si="15"/>
        <v/>
      </c>
    </row>
    <row r="496" spans="6:9" x14ac:dyDescent="0.2">
      <c r="F496" s="4" t="str">
        <f>IF(LEN(TRIM(A496))=0,"",COUNTIFS(Students!H:H, A496))</f>
        <v/>
      </c>
      <c r="G496" s="4" t="str">
        <f>IF(LEN(TRIM(A496))=0,"",COUNTIFS(Students!H:H, A496, Students!D:D, "&lt;&gt;"))</f>
        <v/>
      </c>
      <c r="H496" s="4" t="str">
        <f t="shared" si="14"/>
        <v/>
      </c>
      <c r="I496" s="5" t="str">
        <f t="shared" si="15"/>
        <v/>
      </c>
    </row>
    <row r="497" spans="6:9" x14ac:dyDescent="0.2">
      <c r="F497" s="4" t="str">
        <f>IF(LEN(TRIM(A497))=0,"",COUNTIFS(Students!H:H, A497))</f>
        <v/>
      </c>
      <c r="G497" s="4" t="str">
        <f>IF(LEN(TRIM(A497))=0,"",COUNTIFS(Students!H:H, A497, Students!D:D, "&lt;&gt;"))</f>
        <v/>
      </c>
      <c r="H497" s="4" t="str">
        <f t="shared" si="14"/>
        <v/>
      </c>
      <c r="I497" s="5" t="str">
        <f t="shared" si="15"/>
        <v/>
      </c>
    </row>
    <row r="498" spans="6:9" x14ac:dyDescent="0.2">
      <c r="F498" s="4" t="str">
        <f>IF(LEN(TRIM(A498))=0,"",COUNTIFS(Students!H:H, A498))</f>
        <v/>
      </c>
      <c r="G498" s="4" t="str">
        <f>IF(LEN(TRIM(A498))=0,"",COUNTIFS(Students!H:H, A498, Students!D:D, "&lt;&gt;"))</f>
        <v/>
      </c>
      <c r="H498" s="4" t="str">
        <f t="shared" si="14"/>
        <v/>
      </c>
      <c r="I498" s="5" t="str">
        <f t="shared" si="15"/>
        <v/>
      </c>
    </row>
    <row r="499" spans="6:9" x14ac:dyDescent="0.2">
      <c r="F499" s="4" t="str">
        <f>IF(LEN(TRIM(A499))=0,"",COUNTIFS(Students!H:H, A499))</f>
        <v/>
      </c>
      <c r="G499" s="4" t="str">
        <f>IF(LEN(TRIM(A499))=0,"",COUNTIFS(Students!H:H, A499, Students!D:D, "&lt;&gt;"))</f>
        <v/>
      </c>
      <c r="H499" s="4" t="str">
        <f t="shared" si="14"/>
        <v/>
      </c>
      <c r="I499" s="5" t="str">
        <f t="shared" si="15"/>
        <v/>
      </c>
    </row>
    <row r="500" spans="6:9" x14ac:dyDescent="0.2">
      <c r="F500" s="4" t="str">
        <f>IF(LEN(TRIM(A500))=0,"",COUNTIFS(Students!H:H, A500))</f>
        <v/>
      </c>
      <c r="G500" s="4" t="str">
        <f>IF(LEN(TRIM(A500))=0,"",COUNTIFS(Students!H:H, A500, Students!D:D, "&lt;&gt;"))</f>
        <v/>
      </c>
      <c r="H500" s="4" t="str">
        <f t="shared" si="14"/>
        <v/>
      </c>
      <c r="I500" s="5" t="str">
        <f t="shared" si="15"/>
        <v/>
      </c>
    </row>
    <row r="501" spans="6:9" x14ac:dyDescent="0.2">
      <c r="F501" s="4" t="str">
        <f>IF(LEN(TRIM(A501))=0,"",COUNTIFS(Students!H:H, A501))</f>
        <v/>
      </c>
      <c r="G501" s="4" t="str">
        <f>IF(LEN(TRIM(A501))=0,"",COUNTIFS(Students!H:H, A501, Students!D:D, "&lt;&gt;"))</f>
        <v/>
      </c>
      <c r="H501" s="4" t="str">
        <f t="shared" si="14"/>
        <v/>
      </c>
      <c r="I501" s="5" t="str">
        <f t="shared" si="15"/>
        <v/>
      </c>
    </row>
    <row r="502" spans="6:9" x14ac:dyDescent="0.2">
      <c r="F502" s="4" t="str">
        <f>IF(LEN(TRIM(A502))=0,"",COUNTIFS(Students!H:H, A502))</f>
        <v/>
      </c>
      <c r="G502" s="4" t="str">
        <f>IF(LEN(TRIM(A502))=0,"",COUNTIFS(Students!H:H, A502, Students!D:D, "&lt;&gt;"))</f>
        <v/>
      </c>
      <c r="H502" s="4" t="str">
        <f t="shared" si="14"/>
        <v/>
      </c>
      <c r="I502" s="5" t="str">
        <f t="shared" si="15"/>
        <v/>
      </c>
    </row>
    <row r="503" spans="6:9" x14ac:dyDescent="0.2">
      <c r="F503" s="4" t="str">
        <f>IF(LEN(TRIM(A503))=0,"",COUNTIFS(Students!H:H, A503))</f>
        <v/>
      </c>
      <c r="G503" s="4" t="str">
        <f>IF(LEN(TRIM(A503))=0,"",COUNTIFS(Students!H:H, A503, Students!D:D, "&lt;&gt;"))</f>
        <v/>
      </c>
      <c r="H503" s="4" t="str">
        <f t="shared" si="14"/>
        <v/>
      </c>
      <c r="I503" s="5" t="str">
        <f t="shared" si="15"/>
        <v/>
      </c>
    </row>
    <row r="504" spans="6:9" x14ac:dyDescent="0.2">
      <c r="F504" s="4" t="str">
        <f>IF(LEN(TRIM(A504))=0,"",COUNTIFS(Students!H:H, A504))</f>
        <v/>
      </c>
      <c r="G504" s="4" t="str">
        <f>IF(LEN(TRIM(A504))=0,"",COUNTIFS(Students!H:H, A504, Students!D:D, "&lt;&gt;"))</f>
        <v/>
      </c>
      <c r="H504" s="4" t="str">
        <f t="shared" si="14"/>
        <v/>
      </c>
      <c r="I504" s="5" t="str">
        <f t="shared" si="15"/>
        <v/>
      </c>
    </row>
    <row r="505" spans="6:9" x14ac:dyDescent="0.2">
      <c r="F505" s="4" t="str">
        <f>IF(LEN(TRIM(A505))=0,"",COUNTIFS(Students!H:H, A505))</f>
        <v/>
      </c>
      <c r="G505" s="4" t="str">
        <f>IF(LEN(TRIM(A505))=0,"",COUNTIFS(Students!H:H, A505, Students!D:D, "&lt;&gt;"))</f>
        <v/>
      </c>
      <c r="H505" s="4" t="str">
        <f t="shared" si="14"/>
        <v/>
      </c>
      <c r="I505" s="5" t="str">
        <f t="shared" si="15"/>
        <v/>
      </c>
    </row>
    <row r="506" spans="6:9" x14ac:dyDescent="0.2">
      <c r="F506" s="4" t="str">
        <f>IF(LEN(TRIM(A506))=0,"",COUNTIFS(Students!H:H, A506))</f>
        <v/>
      </c>
      <c r="G506" s="4" t="str">
        <f>IF(LEN(TRIM(A506))=0,"",COUNTIFS(Students!H:H, A506, Students!D:D, "&lt;&gt;"))</f>
        <v/>
      </c>
      <c r="H506" s="4" t="str">
        <f t="shared" si="14"/>
        <v/>
      </c>
      <c r="I506" s="5" t="str">
        <f t="shared" si="15"/>
        <v/>
      </c>
    </row>
    <row r="507" spans="6:9" x14ac:dyDescent="0.2">
      <c r="F507" s="4" t="str">
        <f>IF(LEN(TRIM(A507))=0,"",COUNTIFS(Students!H:H, A507))</f>
        <v/>
      </c>
      <c r="G507" s="4" t="str">
        <f>IF(LEN(TRIM(A507))=0,"",COUNTIFS(Students!H:H, A507, Students!D:D, "&lt;&gt;"))</f>
        <v/>
      </c>
      <c r="H507" s="4" t="str">
        <f t="shared" si="14"/>
        <v/>
      </c>
      <c r="I507" s="5" t="str">
        <f t="shared" si="15"/>
        <v/>
      </c>
    </row>
    <row r="508" spans="6:9" x14ac:dyDescent="0.2">
      <c r="F508" s="4" t="str">
        <f>IF(LEN(TRIM(A508))=0,"",COUNTIFS(Students!H:H, A508))</f>
        <v/>
      </c>
      <c r="G508" s="4" t="str">
        <f>IF(LEN(TRIM(A508))=0,"",COUNTIFS(Students!H:H, A508, Students!D:D, "&lt;&gt;"))</f>
        <v/>
      </c>
      <c r="H508" s="4" t="str">
        <f t="shared" si="14"/>
        <v/>
      </c>
      <c r="I508" s="5" t="str">
        <f t="shared" si="15"/>
        <v/>
      </c>
    </row>
    <row r="509" spans="6:9" x14ac:dyDescent="0.2">
      <c r="F509" s="4" t="str">
        <f>IF(LEN(TRIM(A509))=0,"",COUNTIFS(Students!H:H, A509))</f>
        <v/>
      </c>
      <c r="G509" s="4" t="str">
        <f>IF(LEN(TRIM(A509))=0,"",COUNTIFS(Students!H:H, A509, Students!D:D, "&lt;&gt;"))</f>
        <v/>
      </c>
      <c r="H509" s="4" t="str">
        <f t="shared" si="14"/>
        <v/>
      </c>
      <c r="I509" s="5" t="str">
        <f t="shared" si="15"/>
        <v/>
      </c>
    </row>
    <row r="510" spans="6:9" x14ac:dyDescent="0.2">
      <c r="F510" s="4" t="str">
        <f>IF(LEN(TRIM(A510))=0,"",COUNTIFS(Students!H:H, A510))</f>
        <v/>
      </c>
      <c r="G510" s="4" t="str">
        <f>IF(LEN(TRIM(A510))=0,"",COUNTIFS(Students!H:H, A510, Students!D:D, "&lt;&gt;"))</f>
        <v/>
      </c>
      <c r="H510" s="4" t="str">
        <f t="shared" si="14"/>
        <v/>
      </c>
      <c r="I510" s="5" t="str">
        <f t="shared" si="15"/>
        <v/>
      </c>
    </row>
    <row r="511" spans="6:9" x14ac:dyDescent="0.2">
      <c r="F511" s="4" t="str">
        <f>IF(LEN(TRIM(A511))=0,"",COUNTIFS(Students!H:H, A511))</f>
        <v/>
      </c>
      <c r="G511" s="4" t="str">
        <f>IF(LEN(TRIM(A511))=0,"",COUNTIFS(Students!H:H, A511, Students!D:D, "&lt;&gt;"))</f>
        <v/>
      </c>
      <c r="H511" s="4" t="str">
        <f t="shared" si="14"/>
        <v/>
      </c>
      <c r="I511" s="5" t="str">
        <f t="shared" si="15"/>
        <v/>
      </c>
    </row>
    <row r="512" spans="6:9" x14ac:dyDescent="0.2">
      <c r="F512" s="4" t="str">
        <f>IF(LEN(TRIM(A512))=0,"",COUNTIFS(Students!H:H, A512))</f>
        <v/>
      </c>
      <c r="G512" s="4" t="str">
        <f>IF(LEN(TRIM(A512))=0,"",COUNTIFS(Students!H:H, A512, Students!D:D, "&lt;&gt;"))</f>
        <v/>
      </c>
      <c r="H512" s="4" t="str">
        <f t="shared" si="14"/>
        <v/>
      </c>
      <c r="I512" s="5" t="str">
        <f t="shared" si="15"/>
        <v/>
      </c>
    </row>
    <row r="513" spans="6:9" x14ac:dyDescent="0.2">
      <c r="F513" s="4" t="str">
        <f>IF(LEN(TRIM(A513))=0,"",COUNTIFS(Students!H:H, A513))</f>
        <v/>
      </c>
      <c r="G513" s="4" t="str">
        <f>IF(LEN(TRIM(A513))=0,"",COUNTIFS(Students!H:H, A513, Students!D:D, "&lt;&gt;"))</f>
        <v/>
      </c>
      <c r="H513" s="4" t="str">
        <f t="shared" si="14"/>
        <v/>
      </c>
      <c r="I513" s="5" t="str">
        <f t="shared" si="15"/>
        <v/>
      </c>
    </row>
    <row r="514" spans="6:9" x14ac:dyDescent="0.2">
      <c r="F514" s="4" t="str">
        <f>IF(LEN(TRIM(A514))=0,"",COUNTIFS(Students!H:H, A514))</f>
        <v/>
      </c>
      <c r="G514" s="4" t="str">
        <f>IF(LEN(TRIM(A514))=0,"",COUNTIFS(Students!H:H, A514, Students!D:D, "&lt;&gt;"))</f>
        <v/>
      </c>
      <c r="H514" s="4" t="str">
        <f t="shared" si="14"/>
        <v/>
      </c>
      <c r="I514" s="5" t="str">
        <f t="shared" si="15"/>
        <v/>
      </c>
    </row>
    <row r="515" spans="6:9" x14ac:dyDescent="0.2">
      <c r="F515" s="4" t="str">
        <f>IF(LEN(TRIM(A515))=0,"",COUNTIFS(Students!H:H, A515))</f>
        <v/>
      </c>
      <c r="G515" s="4" t="str">
        <f>IF(LEN(TRIM(A515))=0,"",COUNTIFS(Students!H:H, A515, Students!D:D, "&lt;&gt;"))</f>
        <v/>
      </c>
      <c r="H515" s="4" t="str">
        <f t="shared" ref="H515:H531" si="16">IFERROR(F515-G515,"")</f>
        <v/>
      </c>
      <c r="I515" s="5" t="str">
        <f t="shared" ref="I515:I531" si="17">IFERROR(IF(F515=0, "N/A", G515/F515),"")</f>
        <v/>
      </c>
    </row>
    <row r="516" spans="6:9" x14ac:dyDescent="0.2">
      <c r="F516" s="4" t="str">
        <f>IF(LEN(TRIM(A516))=0,"",COUNTIFS(Students!H:H, A516))</f>
        <v/>
      </c>
      <c r="G516" s="4" t="str">
        <f>IF(LEN(TRIM(A516))=0,"",COUNTIFS(Students!H:H, A516, Students!D:D, "&lt;&gt;"))</f>
        <v/>
      </c>
      <c r="H516" s="4" t="str">
        <f t="shared" si="16"/>
        <v/>
      </c>
      <c r="I516" s="5" t="str">
        <f t="shared" si="17"/>
        <v/>
      </c>
    </row>
    <row r="517" spans="6:9" x14ac:dyDescent="0.2">
      <c r="F517" s="4" t="str">
        <f>IF(LEN(TRIM(A517))=0,"",COUNTIFS(Students!H:H, A517))</f>
        <v/>
      </c>
      <c r="G517" s="4" t="str">
        <f>IF(LEN(TRIM(A517))=0,"",COUNTIFS(Students!H:H, A517, Students!D:D, "&lt;&gt;"))</f>
        <v/>
      </c>
      <c r="H517" s="4" t="str">
        <f t="shared" si="16"/>
        <v/>
      </c>
      <c r="I517" s="5" t="str">
        <f t="shared" si="17"/>
        <v/>
      </c>
    </row>
    <row r="518" spans="6:9" x14ac:dyDescent="0.2">
      <c r="F518" s="4" t="str">
        <f>IF(LEN(TRIM(A518))=0,"",COUNTIFS(Students!H:H, A518))</f>
        <v/>
      </c>
      <c r="G518" s="4" t="str">
        <f>IF(LEN(TRIM(A518))=0,"",COUNTIFS(Students!H:H, A518, Students!D:D, "&lt;&gt;"))</f>
        <v/>
      </c>
      <c r="H518" s="4" t="str">
        <f t="shared" si="16"/>
        <v/>
      </c>
      <c r="I518" s="5" t="str">
        <f t="shared" si="17"/>
        <v/>
      </c>
    </row>
    <row r="519" spans="6:9" x14ac:dyDescent="0.2">
      <c r="F519" s="4" t="str">
        <f>IF(LEN(TRIM(A519))=0,"",COUNTIFS(Students!H:H, A519))</f>
        <v/>
      </c>
      <c r="G519" s="4" t="str">
        <f>IF(LEN(TRIM(A519))=0,"",COUNTIFS(Students!H:H, A519, Students!D:D, "&lt;&gt;"))</f>
        <v/>
      </c>
      <c r="H519" s="4" t="str">
        <f t="shared" si="16"/>
        <v/>
      </c>
      <c r="I519" s="5" t="str">
        <f t="shared" si="17"/>
        <v/>
      </c>
    </row>
    <row r="520" spans="6:9" x14ac:dyDescent="0.2">
      <c r="F520" s="4" t="str">
        <f>IF(LEN(TRIM(A520))=0,"",COUNTIFS(Students!H:H, A520))</f>
        <v/>
      </c>
      <c r="G520" s="4" t="str">
        <f>IF(LEN(TRIM(A520))=0,"",COUNTIFS(Students!H:H, A520, Students!D:D, "&lt;&gt;"))</f>
        <v/>
      </c>
      <c r="H520" s="4" t="str">
        <f t="shared" si="16"/>
        <v/>
      </c>
      <c r="I520" s="5" t="str">
        <f t="shared" si="17"/>
        <v/>
      </c>
    </row>
    <row r="521" spans="6:9" x14ac:dyDescent="0.2">
      <c r="F521" s="4" t="str">
        <f>IF(LEN(TRIM(A521))=0,"",COUNTIFS(Students!H:H, A521))</f>
        <v/>
      </c>
      <c r="G521" s="4" t="str">
        <f>IF(LEN(TRIM(A521))=0,"",COUNTIFS(Students!H:H, A521, Students!D:D, "&lt;&gt;"))</f>
        <v/>
      </c>
      <c r="H521" s="4" t="str">
        <f t="shared" si="16"/>
        <v/>
      </c>
      <c r="I521" s="5" t="str">
        <f t="shared" si="17"/>
        <v/>
      </c>
    </row>
    <row r="522" spans="6:9" x14ac:dyDescent="0.2">
      <c r="F522" s="4" t="str">
        <f>IF(LEN(TRIM(A522))=0,"",COUNTIFS(Students!H:H, A522))</f>
        <v/>
      </c>
      <c r="G522" s="4" t="str">
        <f>IF(LEN(TRIM(A522))=0,"",COUNTIFS(Students!H:H, A522, Students!D:D, "&lt;&gt;"))</f>
        <v/>
      </c>
      <c r="H522" s="4" t="str">
        <f t="shared" si="16"/>
        <v/>
      </c>
      <c r="I522" s="5" t="str">
        <f t="shared" si="17"/>
        <v/>
      </c>
    </row>
    <row r="523" spans="6:9" x14ac:dyDescent="0.2">
      <c r="F523" s="4" t="str">
        <f>IF(LEN(TRIM(A523))=0,"",COUNTIFS(Students!H:H, A523))</f>
        <v/>
      </c>
      <c r="G523" s="4" t="str">
        <f>IF(LEN(TRIM(A523))=0,"",COUNTIFS(Students!H:H, A523, Students!D:D, "&lt;&gt;"))</f>
        <v/>
      </c>
      <c r="H523" s="4" t="str">
        <f t="shared" si="16"/>
        <v/>
      </c>
      <c r="I523" s="5" t="str">
        <f t="shared" si="17"/>
        <v/>
      </c>
    </row>
    <row r="524" spans="6:9" x14ac:dyDescent="0.2">
      <c r="F524" s="4" t="str">
        <f>IF(LEN(TRIM(A524))=0,"",COUNTIFS(Students!H:H, A524))</f>
        <v/>
      </c>
      <c r="G524" s="4" t="str">
        <f>IF(LEN(TRIM(A524))=0,"",COUNTIFS(Students!H:H, A524, Students!D:D, "&lt;&gt;"))</f>
        <v/>
      </c>
      <c r="H524" s="4" t="str">
        <f t="shared" si="16"/>
        <v/>
      </c>
      <c r="I524" s="5" t="str">
        <f t="shared" si="17"/>
        <v/>
      </c>
    </row>
    <row r="525" spans="6:9" x14ac:dyDescent="0.2">
      <c r="F525" s="4" t="str">
        <f>IF(LEN(TRIM(A525))=0,"",COUNTIFS(Students!H:H, A525))</f>
        <v/>
      </c>
      <c r="G525" s="4" t="str">
        <f>IF(LEN(TRIM(A525))=0,"",COUNTIFS(Students!H:H, A525, Students!D:D, "&lt;&gt;"))</f>
        <v/>
      </c>
      <c r="H525" s="4" t="str">
        <f t="shared" si="16"/>
        <v/>
      </c>
      <c r="I525" s="5" t="str">
        <f t="shared" si="17"/>
        <v/>
      </c>
    </row>
    <row r="526" spans="6:9" x14ac:dyDescent="0.2">
      <c r="F526" s="4" t="str">
        <f>IF(LEN(TRIM(A526))=0,"",COUNTIFS(Students!H:H, A526))</f>
        <v/>
      </c>
      <c r="G526" s="4" t="str">
        <f>IF(LEN(TRIM(A526))=0,"",COUNTIFS(Students!H:H, A526, Students!D:D, "&lt;&gt;"))</f>
        <v/>
      </c>
      <c r="H526" s="4" t="str">
        <f t="shared" si="16"/>
        <v/>
      </c>
      <c r="I526" s="5" t="str">
        <f t="shared" si="17"/>
        <v/>
      </c>
    </row>
    <row r="527" spans="6:9" x14ac:dyDescent="0.2">
      <c r="F527" s="4" t="str">
        <f>IF(LEN(TRIM(A527))=0,"",COUNTIFS(Students!H:H, A527))</f>
        <v/>
      </c>
      <c r="G527" s="4" t="str">
        <f>IF(LEN(TRIM(A527))=0,"",COUNTIFS(Students!H:H, A527, Students!D:D, "&lt;&gt;"))</f>
        <v/>
      </c>
      <c r="H527" s="4" t="str">
        <f t="shared" si="16"/>
        <v/>
      </c>
      <c r="I527" s="5" t="str">
        <f t="shared" si="17"/>
        <v/>
      </c>
    </row>
    <row r="528" spans="6:9" x14ac:dyDescent="0.2">
      <c r="F528" s="4" t="str">
        <f>IF(LEN(TRIM(A528))=0,"",COUNTIFS(Students!H:H, A528))</f>
        <v/>
      </c>
      <c r="G528" s="4" t="str">
        <f>IF(LEN(TRIM(A528))=0,"",COUNTIFS(Students!H:H, A528, Students!D:D, "&lt;&gt;"))</f>
        <v/>
      </c>
      <c r="H528" s="4" t="str">
        <f t="shared" si="16"/>
        <v/>
      </c>
      <c r="I528" s="5" t="str">
        <f t="shared" si="17"/>
        <v/>
      </c>
    </row>
    <row r="529" spans="6:9" x14ac:dyDescent="0.2">
      <c r="F529" s="4" t="str">
        <f>IF(LEN(TRIM(A529))=0,"",COUNTIFS(Students!H:H, A529))</f>
        <v/>
      </c>
      <c r="G529" s="4" t="str">
        <f>IF(LEN(TRIM(A529))=0,"",COUNTIFS(Students!H:H, A529, Students!D:D, "&lt;&gt;"))</f>
        <v/>
      </c>
      <c r="H529" s="4" t="str">
        <f t="shared" si="16"/>
        <v/>
      </c>
      <c r="I529" s="5" t="str">
        <f t="shared" si="17"/>
        <v/>
      </c>
    </row>
    <row r="530" spans="6:9" x14ac:dyDescent="0.2">
      <c r="F530" s="4" t="str">
        <f>IF(LEN(TRIM(A530))=0,"",COUNTIFS(Students!H:H, A530))</f>
        <v/>
      </c>
      <c r="G530" s="4" t="str">
        <f>IF(LEN(TRIM(A530))=0,"",COUNTIFS(Students!H:H, A530, Students!D:D, "&lt;&gt;"))</f>
        <v/>
      </c>
      <c r="H530" s="4" t="str">
        <f t="shared" si="16"/>
        <v/>
      </c>
      <c r="I530" s="5" t="str">
        <f t="shared" si="17"/>
        <v/>
      </c>
    </row>
    <row r="531" spans="6:9" x14ac:dyDescent="0.2">
      <c r="F531" s="4" t="str">
        <f>IF(LEN(TRIM(A531))=0,"",COUNTIFS(Students!H:H, A531))</f>
        <v/>
      </c>
      <c r="G531" s="4" t="str">
        <f>IF(LEN(TRIM(A531))=0,"",COUNTIFS(Students!H:H, A531, Students!D:D, "&lt;&gt;"))</f>
        <v/>
      </c>
      <c r="H531" s="4" t="str">
        <f t="shared" si="16"/>
        <v/>
      </c>
      <c r="I531" s="5" t="str">
        <f t="shared" si="17"/>
        <v/>
      </c>
    </row>
  </sheetData>
  <sheetProtection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10</xdr:col>
                    <xdr:colOff>114300</xdr:colOff>
                    <xdr:row>0</xdr:row>
                    <xdr:rowOff>142875</xdr:rowOff>
                  </from>
                  <to>
                    <xdr:col>12</xdr:col>
                    <xdr:colOff>66675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E9B8A-5A2D-41C4-9C28-AD3565397E36}">
  <sheetPr codeName="Sheet3"/>
  <dimension ref="A1:G213"/>
  <sheetViews>
    <sheetView workbookViewId="0">
      <selection activeCell="C6" sqref="C6"/>
    </sheetView>
  </sheetViews>
  <sheetFormatPr defaultRowHeight="14.25" x14ac:dyDescent="0.2"/>
  <cols>
    <col min="1" max="1" width="5.25" style="21" bestFit="1" customWidth="1"/>
    <col min="2" max="2" width="13.125" bestFit="1" customWidth="1"/>
    <col min="3" max="3" width="36.125" customWidth="1"/>
    <col min="4" max="4" width="10.75" style="6" bestFit="1" customWidth="1"/>
    <col min="5" max="5" width="10.625" style="6" bestFit="1" customWidth="1"/>
    <col min="6" max="6" width="8" style="6" bestFit="1" customWidth="1"/>
    <col min="7" max="7" width="9" style="22" bestFit="1" customWidth="1"/>
  </cols>
  <sheetData>
    <row r="1" spans="1:7" ht="15" x14ac:dyDescent="0.25">
      <c r="A1" s="26" t="s">
        <v>2</v>
      </c>
      <c r="B1" s="24" t="s">
        <v>4</v>
      </c>
      <c r="C1" s="24" t="s">
        <v>3</v>
      </c>
      <c r="D1" s="27" t="s">
        <v>18</v>
      </c>
      <c r="E1" s="27" t="s">
        <v>19</v>
      </c>
      <c r="F1" s="27" t="s">
        <v>20</v>
      </c>
      <c r="G1" s="28" t="s">
        <v>21</v>
      </c>
    </row>
    <row r="2" spans="1:7" x14ac:dyDescent="0.2">
      <c r="D2" s="6" t="str">
        <f>IF(LEN(TRIM(A2))=0,"",COUNTIFS(Students!E:E, A2))</f>
        <v/>
      </c>
      <c r="E2" s="6" t="str">
        <f>IF(LEN(TRIM(A2))=0,"",COUNTIFS(Students!E:E, A2, Students!D:D, "&lt;&gt;"))</f>
        <v/>
      </c>
      <c r="F2" s="6" t="str">
        <f>IFERROR(D2-E2,"")</f>
        <v/>
      </c>
      <c r="G2" s="7" t="str">
        <f>IFERROR(IF(D2=0, "N/A", E2/D2),"")</f>
        <v/>
      </c>
    </row>
    <row r="3" spans="1:7" x14ac:dyDescent="0.2">
      <c r="D3" s="6" t="str">
        <f>IF(LEN(TRIM(A3))=0,"",COUNTIFS(Students!E:E, A3))</f>
        <v/>
      </c>
      <c r="E3" s="6" t="str">
        <f>IF(LEN(TRIM(A3))=0,"",COUNTIFS(Students!E:E, A3, Students!D:D, "&lt;&gt;"))</f>
        <v/>
      </c>
      <c r="F3" s="6" t="str">
        <f t="shared" ref="F3:F66" si="0">IFERROR(D3-E3,"")</f>
        <v/>
      </c>
      <c r="G3" s="7" t="str">
        <f t="shared" ref="G3:G66" si="1">IFERROR(IF(D3=0, "N/A", E3/D3),"")</f>
        <v/>
      </c>
    </row>
    <row r="4" spans="1:7" x14ac:dyDescent="0.2">
      <c r="D4" s="6" t="str">
        <f>IF(LEN(TRIM(A4))=0,"",COUNTIFS(Students!E:E, A4))</f>
        <v/>
      </c>
      <c r="E4" s="6" t="str">
        <f>IF(LEN(TRIM(A4))=0,"",COUNTIFS(Students!E:E, A4, Students!D:D, "&lt;&gt;"))</f>
        <v/>
      </c>
      <c r="F4" s="6" t="str">
        <f t="shared" si="0"/>
        <v/>
      </c>
      <c r="G4" s="7" t="str">
        <f t="shared" si="1"/>
        <v/>
      </c>
    </row>
    <row r="5" spans="1:7" x14ac:dyDescent="0.2">
      <c r="D5" s="6" t="str">
        <f>IF(LEN(TRIM(A5))=0,"",COUNTIFS(Students!E:E, A5))</f>
        <v/>
      </c>
      <c r="E5" s="6" t="str">
        <f>IF(LEN(TRIM(A5))=0,"",COUNTIFS(Students!E:E, A5, Students!D:D, "&lt;&gt;"))</f>
        <v/>
      </c>
      <c r="F5" s="6" t="str">
        <f t="shared" si="0"/>
        <v/>
      </c>
      <c r="G5" s="7" t="str">
        <f t="shared" si="1"/>
        <v/>
      </c>
    </row>
    <row r="6" spans="1:7" x14ac:dyDescent="0.2">
      <c r="D6" s="6" t="str">
        <f>IF(LEN(TRIM(A6))=0,"",COUNTIFS(Students!E:E, A6))</f>
        <v/>
      </c>
      <c r="E6" s="6" t="str">
        <f>IF(LEN(TRIM(A6))=0,"",COUNTIFS(Students!E:E, A6, Students!D:D, "&lt;&gt;"))</f>
        <v/>
      </c>
      <c r="F6" s="6" t="str">
        <f t="shared" si="0"/>
        <v/>
      </c>
      <c r="G6" s="7" t="str">
        <f t="shared" si="1"/>
        <v/>
      </c>
    </row>
    <row r="7" spans="1:7" x14ac:dyDescent="0.2">
      <c r="D7" s="6" t="str">
        <f>IF(LEN(TRIM(A7))=0,"",COUNTIFS(Students!E:E, A7))</f>
        <v/>
      </c>
      <c r="E7" s="6" t="str">
        <f>IF(LEN(TRIM(A7))=0,"",COUNTIFS(Students!E:E, A7, Students!D:D, "&lt;&gt;"))</f>
        <v/>
      </c>
      <c r="F7" s="6" t="str">
        <f t="shared" si="0"/>
        <v/>
      </c>
      <c r="G7" s="7" t="str">
        <f t="shared" si="1"/>
        <v/>
      </c>
    </row>
    <row r="8" spans="1:7" x14ac:dyDescent="0.2">
      <c r="D8" s="6" t="str">
        <f>IF(LEN(TRIM(A8))=0,"",COUNTIFS(Students!E:E, A8))</f>
        <v/>
      </c>
      <c r="E8" s="6" t="str">
        <f>IF(LEN(TRIM(A8))=0,"",COUNTIFS(Students!E:E, A8, Students!D:D, "&lt;&gt;"))</f>
        <v/>
      </c>
      <c r="F8" s="6" t="str">
        <f t="shared" si="0"/>
        <v/>
      </c>
      <c r="G8" s="7" t="str">
        <f t="shared" si="1"/>
        <v/>
      </c>
    </row>
    <row r="9" spans="1:7" x14ac:dyDescent="0.2">
      <c r="D9" s="6" t="str">
        <f>IF(LEN(TRIM(A9))=0,"",COUNTIFS(Students!E:E, A9))</f>
        <v/>
      </c>
      <c r="E9" s="6" t="str">
        <f>IF(LEN(TRIM(A9))=0,"",COUNTIFS(Students!E:E, A9, Students!D:D, "&lt;&gt;"))</f>
        <v/>
      </c>
      <c r="F9" s="6" t="str">
        <f t="shared" si="0"/>
        <v/>
      </c>
      <c r="G9" s="7" t="str">
        <f t="shared" si="1"/>
        <v/>
      </c>
    </row>
    <row r="10" spans="1:7" x14ac:dyDescent="0.2">
      <c r="D10" s="6" t="str">
        <f>IF(LEN(TRIM(A10))=0,"",COUNTIFS(Students!E:E, A10))</f>
        <v/>
      </c>
      <c r="E10" s="6" t="str">
        <f>IF(LEN(TRIM(A10))=0,"",COUNTIFS(Students!E:E, A10, Students!D:D, "&lt;&gt;"))</f>
        <v/>
      </c>
      <c r="F10" s="6" t="str">
        <f t="shared" si="0"/>
        <v/>
      </c>
      <c r="G10" s="7" t="str">
        <f t="shared" si="1"/>
        <v/>
      </c>
    </row>
    <row r="11" spans="1:7" x14ac:dyDescent="0.2">
      <c r="D11" s="6" t="str">
        <f>IF(LEN(TRIM(A11))=0,"",COUNTIFS(Students!E:E, A11))</f>
        <v/>
      </c>
      <c r="E11" s="6" t="str">
        <f>IF(LEN(TRIM(A11))=0,"",COUNTIFS(Students!E:E, A11, Students!D:D, "&lt;&gt;"))</f>
        <v/>
      </c>
      <c r="F11" s="6" t="str">
        <f t="shared" si="0"/>
        <v/>
      </c>
      <c r="G11" s="7" t="str">
        <f t="shared" si="1"/>
        <v/>
      </c>
    </row>
    <row r="12" spans="1:7" x14ac:dyDescent="0.2">
      <c r="D12" s="6" t="str">
        <f>IF(LEN(TRIM(A12))=0,"",COUNTIFS(Students!E:E, A12))</f>
        <v/>
      </c>
      <c r="E12" s="6" t="str">
        <f>IF(LEN(TRIM(A12))=0,"",COUNTIFS(Students!E:E, A12, Students!D:D, "&lt;&gt;"))</f>
        <v/>
      </c>
      <c r="F12" s="6" t="str">
        <f t="shared" si="0"/>
        <v/>
      </c>
      <c r="G12" s="7" t="str">
        <f t="shared" si="1"/>
        <v/>
      </c>
    </row>
    <row r="13" spans="1:7" x14ac:dyDescent="0.2">
      <c r="D13" s="6" t="str">
        <f>IF(LEN(TRIM(A13))=0,"",COUNTIFS(Students!E:E, A13))</f>
        <v/>
      </c>
      <c r="E13" s="6" t="str">
        <f>IF(LEN(TRIM(A13))=0,"",COUNTIFS(Students!E:E, A13, Students!D:D, "&lt;&gt;"))</f>
        <v/>
      </c>
      <c r="F13" s="6" t="str">
        <f t="shared" si="0"/>
        <v/>
      </c>
      <c r="G13" s="7" t="str">
        <f t="shared" si="1"/>
        <v/>
      </c>
    </row>
    <row r="14" spans="1:7" x14ac:dyDescent="0.2">
      <c r="D14" s="6" t="str">
        <f>IF(LEN(TRIM(A14))=0,"",COUNTIFS(Students!E:E, A14))</f>
        <v/>
      </c>
      <c r="E14" s="6" t="str">
        <f>IF(LEN(TRIM(A14))=0,"",COUNTIFS(Students!E:E, A14, Students!D:D, "&lt;&gt;"))</f>
        <v/>
      </c>
      <c r="F14" s="6" t="str">
        <f t="shared" si="0"/>
        <v/>
      </c>
      <c r="G14" s="7" t="str">
        <f t="shared" si="1"/>
        <v/>
      </c>
    </row>
    <row r="15" spans="1:7" x14ac:dyDescent="0.2">
      <c r="D15" s="6" t="str">
        <f>IF(LEN(TRIM(A15))=0,"",COUNTIFS(Students!E:E, A15))</f>
        <v/>
      </c>
      <c r="E15" s="6" t="str">
        <f>IF(LEN(TRIM(A15))=0,"",COUNTIFS(Students!E:E, A15, Students!D:D, "&lt;&gt;"))</f>
        <v/>
      </c>
      <c r="F15" s="6" t="str">
        <f t="shared" si="0"/>
        <v/>
      </c>
      <c r="G15" s="7" t="str">
        <f t="shared" si="1"/>
        <v/>
      </c>
    </row>
    <row r="16" spans="1:7" x14ac:dyDescent="0.2">
      <c r="D16" s="6" t="str">
        <f>IF(LEN(TRIM(A16))=0,"",COUNTIFS(Students!E:E, A16))</f>
        <v/>
      </c>
      <c r="E16" s="6" t="str">
        <f>IF(LEN(TRIM(A16))=0,"",COUNTIFS(Students!E:E, A16, Students!D:D, "&lt;&gt;"))</f>
        <v/>
      </c>
      <c r="F16" s="6" t="str">
        <f t="shared" si="0"/>
        <v/>
      </c>
      <c r="G16" s="7" t="str">
        <f t="shared" si="1"/>
        <v/>
      </c>
    </row>
    <row r="17" spans="4:7" x14ac:dyDescent="0.2">
      <c r="D17" s="6" t="str">
        <f>IF(LEN(TRIM(A17))=0,"",COUNTIFS(Students!E:E, A17))</f>
        <v/>
      </c>
      <c r="E17" s="6" t="str">
        <f>IF(LEN(TRIM(A17))=0,"",COUNTIFS(Students!E:E, A17, Students!D:D, "&lt;&gt;"))</f>
        <v/>
      </c>
      <c r="F17" s="6" t="str">
        <f t="shared" si="0"/>
        <v/>
      </c>
      <c r="G17" s="7" t="str">
        <f t="shared" si="1"/>
        <v/>
      </c>
    </row>
    <row r="18" spans="4:7" x14ac:dyDescent="0.2">
      <c r="D18" s="6" t="str">
        <f>IF(LEN(TRIM(A18))=0,"",COUNTIFS(Students!E:E, A18))</f>
        <v/>
      </c>
      <c r="E18" s="6" t="str">
        <f>IF(LEN(TRIM(A18))=0,"",COUNTIFS(Students!E:E, A18, Students!D:D, "&lt;&gt;"))</f>
        <v/>
      </c>
      <c r="F18" s="6" t="str">
        <f t="shared" si="0"/>
        <v/>
      </c>
      <c r="G18" s="7" t="str">
        <f t="shared" si="1"/>
        <v/>
      </c>
    </row>
    <row r="19" spans="4:7" x14ac:dyDescent="0.2">
      <c r="D19" s="6" t="str">
        <f>IF(LEN(TRIM(A19))=0,"",COUNTIFS(Students!E:E, A19))</f>
        <v/>
      </c>
      <c r="E19" s="6" t="str">
        <f>IF(LEN(TRIM(A19))=0,"",COUNTIFS(Students!E:E, A19, Students!D:D, "&lt;&gt;"))</f>
        <v/>
      </c>
      <c r="F19" s="6" t="str">
        <f t="shared" si="0"/>
        <v/>
      </c>
      <c r="G19" s="7" t="str">
        <f t="shared" si="1"/>
        <v/>
      </c>
    </row>
    <row r="20" spans="4:7" x14ac:dyDescent="0.2">
      <c r="D20" s="6" t="str">
        <f>IF(LEN(TRIM(A20))=0,"",COUNTIFS(Students!E:E, A20))</f>
        <v/>
      </c>
      <c r="E20" s="6" t="str">
        <f>IF(LEN(TRIM(A20))=0,"",COUNTIFS(Students!E:E, A20, Students!D:D, "&lt;&gt;"))</f>
        <v/>
      </c>
      <c r="F20" s="6" t="str">
        <f t="shared" si="0"/>
        <v/>
      </c>
      <c r="G20" s="7" t="str">
        <f t="shared" si="1"/>
        <v/>
      </c>
    </row>
    <row r="21" spans="4:7" x14ac:dyDescent="0.2">
      <c r="D21" s="6" t="str">
        <f>IF(LEN(TRIM(A21))=0,"",COUNTIFS(Students!E:E, A21))</f>
        <v/>
      </c>
      <c r="E21" s="6" t="str">
        <f>IF(LEN(TRIM(A21))=0,"",COUNTIFS(Students!E:E, A21, Students!D:D, "&lt;&gt;"))</f>
        <v/>
      </c>
      <c r="F21" s="6" t="str">
        <f t="shared" si="0"/>
        <v/>
      </c>
      <c r="G21" s="7" t="str">
        <f t="shared" si="1"/>
        <v/>
      </c>
    </row>
    <row r="22" spans="4:7" x14ac:dyDescent="0.2">
      <c r="D22" s="6" t="str">
        <f>IF(LEN(TRIM(A22))=0,"",COUNTIFS(Students!E:E, A22))</f>
        <v/>
      </c>
      <c r="E22" s="6" t="str">
        <f>IF(LEN(TRIM(A22))=0,"",COUNTIFS(Students!E:E, A22, Students!D:D, "&lt;&gt;"))</f>
        <v/>
      </c>
      <c r="F22" s="6" t="str">
        <f t="shared" si="0"/>
        <v/>
      </c>
      <c r="G22" s="7" t="str">
        <f t="shared" si="1"/>
        <v/>
      </c>
    </row>
    <row r="23" spans="4:7" x14ac:dyDescent="0.2">
      <c r="D23" s="6" t="str">
        <f>IF(LEN(TRIM(A23))=0,"",COUNTIFS(Students!E:E, A23))</f>
        <v/>
      </c>
      <c r="E23" s="6" t="str">
        <f>IF(LEN(TRIM(A23))=0,"",COUNTIFS(Students!E:E, A23, Students!D:D, "&lt;&gt;"))</f>
        <v/>
      </c>
      <c r="F23" s="6" t="str">
        <f t="shared" si="0"/>
        <v/>
      </c>
      <c r="G23" s="7" t="str">
        <f t="shared" si="1"/>
        <v/>
      </c>
    </row>
    <row r="24" spans="4:7" x14ac:dyDescent="0.2">
      <c r="D24" s="6" t="str">
        <f>IF(LEN(TRIM(A24))=0,"",COUNTIFS(Students!E:E, A24))</f>
        <v/>
      </c>
      <c r="E24" s="6" t="str">
        <f>IF(LEN(TRIM(A24))=0,"",COUNTIFS(Students!E:E, A24, Students!D:D, "&lt;&gt;"))</f>
        <v/>
      </c>
      <c r="F24" s="6" t="str">
        <f t="shared" si="0"/>
        <v/>
      </c>
      <c r="G24" s="7" t="str">
        <f t="shared" si="1"/>
        <v/>
      </c>
    </row>
    <row r="25" spans="4:7" x14ac:dyDescent="0.2">
      <c r="D25" s="6" t="str">
        <f>IF(LEN(TRIM(A25))=0,"",COUNTIFS(Students!E:E, A25))</f>
        <v/>
      </c>
      <c r="E25" s="6" t="str">
        <f>IF(LEN(TRIM(A25))=0,"",COUNTIFS(Students!E:E, A25, Students!D:D, "&lt;&gt;"))</f>
        <v/>
      </c>
      <c r="F25" s="6" t="str">
        <f t="shared" si="0"/>
        <v/>
      </c>
      <c r="G25" s="7" t="str">
        <f t="shared" si="1"/>
        <v/>
      </c>
    </row>
    <row r="26" spans="4:7" x14ac:dyDescent="0.2">
      <c r="D26" s="6" t="str">
        <f>IF(LEN(TRIM(A26))=0,"",COUNTIFS(Students!E:E, A26))</f>
        <v/>
      </c>
      <c r="E26" s="6" t="str">
        <f>IF(LEN(TRIM(A26))=0,"",COUNTIFS(Students!E:E, A26, Students!D:D, "&lt;&gt;"))</f>
        <v/>
      </c>
      <c r="F26" s="6" t="str">
        <f t="shared" si="0"/>
        <v/>
      </c>
      <c r="G26" s="7" t="str">
        <f t="shared" si="1"/>
        <v/>
      </c>
    </row>
    <row r="27" spans="4:7" x14ac:dyDescent="0.2">
      <c r="D27" s="6" t="str">
        <f>IF(LEN(TRIM(A27))=0,"",COUNTIFS(Students!E:E, A27))</f>
        <v/>
      </c>
      <c r="E27" s="6" t="str">
        <f>IF(LEN(TRIM(A27))=0,"",COUNTIFS(Students!E:E, A27, Students!D:D, "&lt;&gt;"))</f>
        <v/>
      </c>
      <c r="F27" s="6" t="str">
        <f t="shared" si="0"/>
        <v/>
      </c>
      <c r="G27" s="7" t="str">
        <f t="shared" si="1"/>
        <v/>
      </c>
    </row>
    <row r="28" spans="4:7" x14ac:dyDescent="0.2">
      <c r="D28" s="6" t="str">
        <f>IF(LEN(TRIM(A28))=0,"",COUNTIFS(Students!E:E, A28))</f>
        <v/>
      </c>
      <c r="E28" s="6" t="str">
        <f>IF(LEN(TRIM(A28))=0,"",COUNTIFS(Students!E:E, A28, Students!D:D, "&lt;&gt;"))</f>
        <v/>
      </c>
      <c r="F28" s="6" t="str">
        <f t="shared" si="0"/>
        <v/>
      </c>
      <c r="G28" s="7" t="str">
        <f t="shared" si="1"/>
        <v/>
      </c>
    </row>
    <row r="29" spans="4:7" x14ac:dyDescent="0.2">
      <c r="D29" s="6" t="str">
        <f>IF(LEN(TRIM(A29))=0,"",COUNTIFS(Students!E:E, A29))</f>
        <v/>
      </c>
      <c r="E29" s="6" t="str">
        <f>IF(LEN(TRIM(A29))=0,"",COUNTIFS(Students!E:E, A29, Students!D:D, "&lt;&gt;"))</f>
        <v/>
      </c>
      <c r="F29" s="6" t="str">
        <f t="shared" si="0"/>
        <v/>
      </c>
      <c r="G29" s="7" t="str">
        <f t="shared" si="1"/>
        <v/>
      </c>
    </row>
    <row r="30" spans="4:7" x14ac:dyDescent="0.2">
      <c r="D30" s="6" t="str">
        <f>IF(LEN(TRIM(A30))=0,"",COUNTIFS(Students!E:E, A30))</f>
        <v/>
      </c>
      <c r="E30" s="6" t="str">
        <f>IF(LEN(TRIM(A30))=0,"",COUNTIFS(Students!E:E, A30, Students!D:D, "&lt;&gt;"))</f>
        <v/>
      </c>
      <c r="F30" s="6" t="str">
        <f t="shared" si="0"/>
        <v/>
      </c>
      <c r="G30" s="7" t="str">
        <f t="shared" si="1"/>
        <v/>
      </c>
    </row>
    <row r="31" spans="4:7" x14ac:dyDescent="0.2">
      <c r="D31" s="6" t="str">
        <f>IF(LEN(TRIM(A31))=0,"",COUNTIFS(Students!E:E, A31))</f>
        <v/>
      </c>
      <c r="E31" s="6" t="str">
        <f>IF(LEN(TRIM(A31))=0,"",COUNTIFS(Students!E:E, A31, Students!D:D, "&lt;&gt;"))</f>
        <v/>
      </c>
      <c r="F31" s="6" t="str">
        <f t="shared" si="0"/>
        <v/>
      </c>
      <c r="G31" s="7" t="str">
        <f t="shared" si="1"/>
        <v/>
      </c>
    </row>
    <row r="32" spans="4:7" x14ac:dyDescent="0.2">
      <c r="D32" s="6" t="str">
        <f>IF(LEN(TRIM(A32))=0,"",COUNTIFS(Students!E:E, A32))</f>
        <v/>
      </c>
      <c r="E32" s="6" t="str">
        <f>IF(LEN(TRIM(A32))=0,"",COUNTIFS(Students!E:E, A32, Students!D:D, "&lt;&gt;"))</f>
        <v/>
      </c>
      <c r="F32" s="6" t="str">
        <f t="shared" si="0"/>
        <v/>
      </c>
      <c r="G32" s="7" t="str">
        <f t="shared" si="1"/>
        <v/>
      </c>
    </row>
    <row r="33" spans="4:7" x14ac:dyDescent="0.2">
      <c r="D33" s="6" t="str">
        <f>IF(LEN(TRIM(A33))=0,"",COUNTIFS(Students!E:E, A33))</f>
        <v/>
      </c>
      <c r="E33" s="6" t="str">
        <f>IF(LEN(TRIM(A33))=0,"",COUNTIFS(Students!E:E, A33, Students!D:D, "&lt;&gt;"))</f>
        <v/>
      </c>
      <c r="F33" s="6" t="str">
        <f t="shared" si="0"/>
        <v/>
      </c>
      <c r="G33" s="7" t="str">
        <f t="shared" si="1"/>
        <v/>
      </c>
    </row>
    <row r="34" spans="4:7" x14ac:dyDescent="0.2">
      <c r="D34" s="6" t="str">
        <f>IF(LEN(TRIM(A34))=0,"",COUNTIFS(Students!E:E, A34))</f>
        <v/>
      </c>
      <c r="E34" s="6" t="str">
        <f>IF(LEN(TRIM(A34))=0,"",COUNTIFS(Students!E:E, A34, Students!D:D, "&lt;&gt;"))</f>
        <v/>
      </c>
      <c r="F34" s="6" t="str">
        <f t="shared" si="0"/>
        <v/>
      </c>
      <c r="G34" s="7" t="str">
        <f t="shared" si="1"/>
        <v/>
      </c>
    </row>
    <row r="35" spans="4:7" x14ac:dyDescent="0.2">
      <c r="D35" s="6" t="str">
        <f>IF(LEN(TRIM(A35))=0,"",COUNTIFS(Students!E:E, A35))</f>
        <v/>
      </c>
      <c r="E35" s="6" t="str">
        <f>IF(LEN(TRIM(A35))=0,"",COUNTIFS(Students!E:E, A35, Students!D:D, "&lt;&gt;"))</f>
        <v/>
      </c>
      <c r="F35" s="6" t="str">
        <f t="shared" si="0"/>
        <v/>
      </c>
      <c r="G35" s="7" t="str">
        <f t="shared" si="1"/>
        <v/>
      </c>
    </row>
    <row r="36" spans="4:7" x14ac:dyDescent="0.2">
      <c r="D36" s="6" t="str">
        <f>IF(LEN(TRIM(A36))=0,"",COUNTIFS(Students!E:E, A36))</f>
        <v/>
      </c>
      <c r="E36" s="6" t="str">
        <f>IF(LEN(TRIM(A36))=0,"",COUNTIFS(Students!E:E, A36, Students!D:D, "&lt;&gt;"))</f>
        <v/>
      </c>
      <c r="F36" s="6" t="str">
        <f t="shared" si="0"/>
        <v/>
      </c>
      <c r="G36" s="7" t="str">
        <f t="shared" si="1"/>
        <v/>
      </c>
    </row>
    <row r="37" spans="4:7" x14ac:dyDescent="0.2">
      <c r="D37" s="6" t="str">
        <f>IF(LEN(TRIM(A37))=0,"",COUNTIFS(Students!E:E, A37))</f>
        <v/>
      </c>
      <c r="E37" s="6" t="str">
        <f>IF(LEN(TRIM(A37))=0,"",COUNTIFS(Students!E:E, A37, Students!D:D, "&lt;&gt;"))</f>
        <v/>
      </c>
      <c r="F37" s="6" t="str">
        <f t="shared" si="0"/>
        <v/>
      </c>
      <c r="G37" s="7" t="str">
        <f t="shared" si="1"/>
        <v/>
      </c>
    </row>
    <row r="38" spans="4:7" x14ac:dyDescent="0.2">
      <c r="D38" s="6" t="str">
        <f>IF(LEN(TRIM(A38))=0,"",COUNTIFS(Students!E:E, A38))</f>
        <v/>
      </c>
      <c r="E38" s="6" t="str">
        <f>IF(LEN(TRIM(A38))=0,"",COUNTIFS(Students!E:E, A38, Students!D:D, "&lt;&gt;"))</f>
        <v/>
      </c>
      <c r="F38" s="6" t="str">
        <f t="shared" si="0"/>
        <v/>
      </c>
      <c r="G38" s="7" t="str">
        <f t="shared" si="1"/>
        <v/>
      </c>
    </row>
    <row r="39" spans="4:7" x14ac:dyDescent="0.2">
      <c r="D39" s="6" t="str">
        <f>IF(LEN(TRIM(A39))=0,"",COUNTIFS(Students!E:E, A39))</f>
        <v/>
      </c>
      <c r="E39" s="6" t="str">
        <f>IF(LEN(TRIM(A39))=0,"",COUNTIFS(Students!E:E, A39, Students!D:D, "&lt;&gt;"))</f>
        <v/>
      </c>
      <c r="F39" s="6" t="str">
        <f t="shared" si="0"/>
        <v/>
      </c>
      <c r="G39" s="7" t="str">
        <f t="shared" si="1"/>
        <v/>
      </c>
    </row>
    <row r="40" spans="4:7" x14ac:dyDescent="0.2">
      <c r="D40" s="6" t="str">
        <f>IF(LEN(TRIM(A40))=0,"",COUNTIFS(Students!E:E, A40))</f>
        <v/>
      </c>
      <c r="E40" s="6" t="str">
        <f>IF(LEN(TRIM(A40))=0,"",COUNTIFS(Students!E:E, A40, Students!D:D, "&lt;&gt;"))</f>
        <v/>
      </c>
      <c r="F40" s="6" t="str">
        <f t="shared" si="0"/>
        <v/>
      </c>
      <c r="G40" s="7" t="str">
        <f t="shared" si="1"/>
        <v/>
      </c>
    </row>
    <row r="41" spans="4:7" x14ac:dyDescent="0.2">
      <c r="D41" s="6" t="str">
        <f>IF(LEN(TRIM(A41))=0,"",COUNTIFS(Students!E:E, A41))</f>
        <v/>
      </c>
      <c r="E41" s="6" t="str">
        <f>IF(LEN(TRIM(A41))=0,"",COUNTIFS(Students!E:E, A41, Students!D:D, "&lt;&gt;"))</f>
        <v/>
      </c>
      <c r="F41" s="6" t="str">
        <f t="shared" si="0"/>
        <v/>
      </c>
      <c r="G41" s="7" t="str">
        <f t="shared" si="1"/>
        <v/>
      </c>
    </row>
    <row r="42" spans="4:7" x14ac:dyDescent="0.2">
      <c r="D42" s="6" t="str">
        <f>IF(LEN(TRIM(A42))=0,"",COUNTIFS(Students!E:E, A42))</f>
        <v/>
      </c>
      <c r="E42" s="6" t="str">
        <f>IF(LEN(TRIM(A42))=0,"",COUNTIFS(Students!E:E, A42, Students!D:D, "&lt;&gt;"))</f>
        <v/>
      </c>
      <c r="F42" s="6" t="str">
        <f t="shared" si="0"/>
        <v/>
      </c>
      <c r="G42" s="7" t="str">
        <f t="shared" si="1"/>
        <v/>
      </c>
    </row>
    <row r="43" spans="4:7" x14ac:dyDescent="0.2">
      <c r="D43" s="6" t="str">
        <f>IF(LEN(TRIM(A43))=0,"",COUNTIFS(Students!E:E, A43))</f>
        <v/>
      </c>
      <c r="E43" s="6" t="str">
        <f>IF(LEN(TRIM(A43))=0,"",COUNTIFS(Students!E:E, A43, Students!D:D, "&lt;&gt;"))</f>
        <v/>
      </c>
      <c r="F43" s="6" t="str">
        <f t="shared" si="0"/>
        <v/>
      </c>
      <c r="G43" s="7" t="str">
        <f t="shared" si="1"/>
        <v/>
      </c>
    </row>
    <row r="44" spans="4:7" x14ac:dyDescent="0.2">
      <c r="D44" s="6" t="str">
        <f>IF(LEN(TRIM(A44))=0,"",COUNTIFS(Students!E:E, A44))</f>
        <v/>
      </c>
      <c r="E44" s="6" t="str">
        <f>IF(LEN(TRIM(A44))=0,"",COUNTIFS(Students!E:E, A44, Students!D:D, "&lt;&gt;"))</f>
        <v/>
      </c>
      <c r="F44" s="6" t="str">
        <f t="shared" si="0"/>
        <v/>
      </c>
      <c r="G44" s="7" t="str">
        <f t="shared" si="1"/>
        <v/>
      </c>
    </row>
    <row r="45" spans="4:7" x14ac:dyDescent="0.2">
      <c r="D45" s="6" t="str">
        <f>IF(LEN(TRIM(A45))=0,"",COUNTIFS(Students!E:E, A45))</f>
        <v/>
      </c>
      <c r="E45" s="6" t="str">
        <f>IF(LEN(TRIM(A45))=0,"",COUNTIFS(Students!E:E, A45, Students!D:D, "&lt;&gt;"))</f>
        <v/>
      </c>
      <c r="F45" s="6" t="str">
        <f t="shared" si="0"/>
        <v/>
      </c>
      <c r="G45" s="7" t="str">
        <f t="shared" si="1"/>
        <v/>
      </c>
    </row>
    <row r="46" spans="4:7" x14ac:dyDescent="0.2">
      <c r="D46" s="6" t="str">
        <f>IF(LEN(TRIM(A46))=0,"",COUNTIFS(Students!E:E, A46))</f>
        <v/>
      </c>
      <c r="E46" s="6" t="str">
        <f>IF(LEN(TRIM(A46))=0,"",COUNTIFS(Students!E:E, A46, Students!D:D, "&lt;&gt;"))</f>
        <v/>
      </c>
      <c r="F46" s="6" t="str">
        <f t="shared" si="0"/>
        <v/>
      </c>
      <c r="G46" s="7" t="str">
        <f t="shared" si="1"/>
        <v/>
      </c>
    </row>
    <row r="47" spans="4:7" x14ac:dyDescent="0.2">
      <c r="D47" s="6" t="str">
        <f>IF(LEN(TRIM(A47))=0,"",COUNTIFS(Students!E:E, A47))</f>
        <v/>
      </c>
      <c r="E47" s="6" t="str">
        <f>IF(LEN(TRIM(A47))=0,"",COUNTIFS(Students!E:E, A47, Students!D:D, "&lt;&gt;"))</f>
        <v/>
      </c>
      <c r="F47" s="6" t="str">
        <f t="shared" si="0"/>
        <v/>
      </c>
      <c r="G47" s="7" t="str">
        <f t="shared" si="1"/>
        <v/>
      </c>
    </row>
    <row r="48" spans="4:7" x14ac:dyDescent="0.2">
      <c r="D48" s="6" t="str">
        <f>IF(LEN(TRIM(A48))=0,"",COUNTIFS(Students!E:E, A48))</f>
        <v/>
      </c>
      <c r="E48" s="6" t="str">
        <f>IF(LEN(TRIM(A48))=0,"",COUNTIFS(Students!E:E, A48, Students!D:D, "&lt;&gt;"))</f>
        <v/>
      </c>
      <c r="F48" s="6" t="str">
        <f t="shared" si="0"/>
        <v/>
      </c>
      <c r="G48" s="7" t="str">
        <f t="shared" si="1"/>
        <v/>
      </c>
    </row>
    <row r="49" spans="4:7" x14ac:dyDescent="0.2">
      <c r="D49" s="6" t="str">
        <f>IF(LEN(TRIM(A49))=0,"",COUNTIFS(Students!E:E, A49))</f>
        <v/>
      </c>
      <c r="E49" s="6" t="str">
        <f>IF(LEN(TRIM(A49))=0,"",COUNTIFS(Students!E:E, A49, Students!D:D, "&lt;&gt;"))</f>
        <v/>
      </c>
      <c r="F49" s="6" t="str">
        <f t="shared" si="0"/>
        <v/>
      </c>
      <c r="G49" s="7" t="str">
        <f t="shared" si="1"/>
        <v/>
      </c>
    </row>
    <row r="50" spans="4:7" x14ac:dyDescent="0.2">
      <c r="D50" s="6" t="str">
        <f>IF(LEN(TRIM(A50))=0,"",COUNTIFS(Students!E:E, A50))</f>
        <v/>
      </c>
      <c r="E50" s="6" t="str">
        <f>IF(LEN(TRIM(A50))=0,"",COUNTIFS(Students!E:E, A50, Students!D:D, "&lt;&gt;"))</f>
        <v/>
      </c>
      <c r="F50" s="6" t="str">
        <f t="shared" si="0"/>
        <v/>
      </c>
      <c r="G50" s="7" t="str">
        <f t="shared" si="1"/>
        <v/>
      </c>
    </row>
    <row r="51" spans="4:7" x14ac:dyDescent="0.2">
      <c r="D51" s="6" t="str">
        <f>IF(LEN(TRIM(A51))=0,"",COUNTIFS(Students!E:E, A51))</f>
        <v/>
      </c>
      <c r="E51" s="6" t="str">
        <f>IF(LEN(TRIM(A51))=0,"",COUNTIFS(Students!E:E, A51, Students!D:D, "&lt;&gt;"))</f>
        <v/>
      </c>
      <c r="F51" s="6" t="str">
        <f t="shared" si="0"/>
        <v/>
      </c>
      <c r="G51" s="7" t="str">
        <f t="shared" si="1"/>
        <v/>
      </c>
    </row>
    <row r="52" spans="4:7" x14ac:dyDescent="0.2">
      <c r="D52" s="6" t="str">
        <f>IF(LEN(TRIM(A52))=0,"",COUNTIFS(Students!E:E, A52))</f>
        <v/>
      </c>
      <c r="E52" s="6" t="str">
        <f>IF(LEN(TRIM(A52))=0,"",COUNTIFS(Students!E:E, A52, Students!D:D, "&lt;&gt;"))</f>
        <v/>
      </c>
      <c r="F52" s="6" t="str">
        <f t="shared" si="0"/>
        <v/>
      </c>
      <c r="G52" s="7" t="str">
        <f t="shared" si="1"/>
        <v/>
      </c>
    </row>
    <row r="53" spans="4:7" x14ac:dyDescent="0.2">
      <c r="D53" s="6" t="str">
        <f>IF(LEN(TRIM(A53))=0,"",COUNTIFS(Students!E:E, A53))</f>
        <v/>
      </c>
      <c r="E53" s="6" t="str">
        <f>IF(LEN(TRIM(A53))=0,"",COUNTIFS(Students!E:E, A53, Students!D:D, "&lt;&gt;"))</f>
        <v/>
      </c>
      <c r="F53" s="6" t="str">
        <f t="shared" si="0"/>
        <v/>
      </c>
      <c r="G53" s="7" t="str">
        <f t="shared" si="1"/>
        <v/>
      </c>
    </row>
    <row r="54" spans="4:7" x14ac:dyDescent="0.2">
      <c r="D54" s="6" t="str">
        <f>IF(LEN(TRIM(A54))=0,"",COUNTIFS(Students!E:E, A54))</f>
        <v/>
      </c>
      <c r="E54" s="6" t="str">
        <f>IF(LEN(TRIM(A54))=0,"",COUNTIFS(Students!E:E, A54, Students!D:D, "&lt;&gt;"))</f>
        <v/>
      </c>
      <c r="F54" s="6" t="str">
        <f t="shared" si="0"/>
        <v/>
      </c>
      <c r="G54" s="7" t="str">
        <f t="shared" si="1"/>
        <v/>
      </c>
    </row>
    <row r="55" spans="4:7" x14ac:dyDescent="0.2">
      <c r="D55" s="6" t="str">
        <f>IF(LEN(TRIM(A55))=0,"",COUNTIFS(Students!E:E, A55))</f>
        <v/>
      </c>
      <c r="E55" s="6" t="str">
        <f>IF(LEN(TRIM(A55))=0,"",COUNTIFS(Students!E:E, A55, Students!D:D, "&lt;&gt;"))</f>
        <v/>
      </c>
      <c r="F55" s="6" t="str">
        <f t="shared" si="0"/>
        <v/>
      </c>
      <c r="G55" s="7" t="str">
        <f t="shared" si="1"/>
        <v/>
      </c>
    </row>
    <row r="56" spans="4:7" x14ac:dyDescent="0.2">
      <c r="D56" s="6" t="str">
        <f>IF(LEN(TRIM(A56))=0,"",COUNTIFS(Students!E:E, A56))</f>
        <v/>
      </c>
      <c r="E56" s="6" t="str">
        <f>IF(LEN(TRIM(A56))=0,"",COUNTIFS(Students!E:E, A56, Students!D:D, "&lt;&gt;"))</f>
        <v/>
      </c>
      <c r="F56" s="6" t="str">
        <f t="shared" si="0"/>
        <v/>
      </c>
      <c r="G56" s="7" t="str">
        <f t="shared" si="1"/>
        <v/>
      </c>
    </row>
    <row r="57" spans="4:7" x14ac:dyDescent="0.2">
      <c r="D57" s="6" t="str">
        <f>IF(LEN(TRIM(A57))=0,"",COUNTIFS(Students!E:E, A57))</f>
        <v/>
      </c>
      <c r="E57" s="6" t="str">
        <f>IF(LEN(TRIM(A57))=0,"",COUNTIFS(Students!E:E, A57, Students!D:D, "&lt;&gt;"))</f>
        <v/>
      </c>
      <c r="F57" s="6" t="str">
        <f t="shared" si="0"/>
        <v/>
      </c>
      <c r="G57" s="7" t="str">
        <f t="shared" si="1"/>
        <v/>
      </c>
    </row>
    <row r="58" spans="4:7" x14ac:dyDescent="0.2">
      <c r="D58" s="6" t="str">
        <f>IF(LEN(TRIM(A58))=0,"",COUNTIFS(Students!E:E, A58))</f>
        <v/>
      </c>
      <c r="E58" s="6" t="str">
        <f>IF(LEN(TRIM(A58))=0,"",COUNTIFS(Students!E:E, A58, Students!D:D, "&lt;&gt;"))</f>
        <v/>
      </c>
      <c r="F58" s="6" t="str">
        <f t="shared" si="0"/>
        <v/>
      </c>
      <c r="G58" s="7" t="str">
        <f t="shared" si="1"/>
        <v/>
      </c>
    </row>
    <row r="59" spans="4:7" x14ac:dyDescent="0.2">
      <c r="D59" s="6" t="str">
        <f>IF(LEN(TRIM(A59))=0,"",COUNTIFS(Students!E:E, A59))</f>
        <v/>
      </c>
      <c r="E59" s="6" t="str">
        <f>IF(LEN(TRIM(A59))=0,"",COUNTIFS(Students!E:E, A59, Students!D:D, "&lt;&gt;"))</f>
        <v/>
      </c>
      <c r="F59" s="6" t="str">
        <f t="shared" si="0"/>
        <v/>
      </c>
      <c r="G59" s="7" t="str">
        <f t="shared" si="1"/>
        <v/>
      </c>
    </row>
    <row r="60" spans="4:7" x14ac:dyDescent="0.2">
      <c r="D60" s="6" t="str">
        <f>IF(LEN(TRIM(A60))=0,"",COUNTIFS(Students!E:E, A60))</f>
        <v/>
      </c>
      <c r="E60" s="6" t="str">
        <f>IF(LEN(TRIM(A60))=0,"",COUNTIFS(Students!E:E, A60, Students!D:D, "&lt;&gt;"))</f>
        <v/>
      </c>
      <c r="F60" s="6" t="str">
        <f t="shared" si="0"/>
        <v/>
      </c>
      <c r="G60" s="7" t="str">
        <f t="shared" si="1"/>
        <v/>
      </c>
    </row>
    <row r="61" spans="4:7" x14ac:dyDescent="0.2">
      <c r="D61" s="6" t="str">
        <f>IF(LEN(TRIM(A61))=0,"",COUNTIFS(Students!E:E, A61))</f>
        <v/>
      </c>
      <c r="E61" s="6" t="str">
        <f>IF(LEN(TRIM(A61))=0,"",COUNTIFS(Students!E:E, A61, Students!D:D, "&lt;&gt;"))</f>
        <v/>
      </c>
      <c r="F61" s="6" t="str">
        <f t="shared" si="0"/>
        <v/>
      </c>
      <c r="G61" s="7" t="str">
        <f t="shared" si="1"/>
        <v/>
      </c>
    </row>
    <row r="62" spans="4:7" x14ac:dyDescent="0.2">
      <c r="D62" s="6" t="str">
        <f>IF(LEN(TRIM(A62))=0,"",COUNTIFS(Students!E:E, A62))</f>
        <v/>
      </c>
      <c r="E62" s="6" t="str">
        <f>IF(LEN(TRIM(A62))=0,"",COUNTIFS(Students!E:E, A62, Students!D:D, "&lt;&gt;"))</f>
        <v/>
      </c>
      <c r="F62" s="6" t="str">
        <f t="shared" si="0"/>
        <v/>
      </c>
      <c r="G62" s="7" t="str">
        <f t="shared" si="1"/>
        <v/>
      </c>
    </row>
    <row r="63" spans="4:7" x14ac:dyDescent="0.2">
      <c r="D63" s="6" t="str">
        <f>IF(LEN(TRIM(A63))=0,"",COUNTIFS(Students!E:E, A63))</f>
        <v/>
      </c>
      <c r="E63" s="6" t="str">
        <f>IF(LEN(TRIM(A63))=0,"",COUNTIFS(Students!E:E, A63, Students!D:D, "&lt;&gt;"))</f>
        <v/>
      </c>
      <c r="F63" s="6" t="str">
        <f t="shared" si="0"/>
        <v/>
      </c>
      <c r="G63" s="7" t="str">
        <f t="shared" si="1"/>
        <v/>
      </c>
    </row>
    <row r="64" spans="4:7" x14ac:dyDescent="0.2">
      <c r="D64" s="6" t="str">
        <f>IF(LEN(TRIM(A64))=0,"",COUNTIFS(Students!E:E, A64))</f>
        <v/>
      </c>
      <c r="E64" s="6" t="str">
        <f>IF(LEN(TRIM(A64))=0,"",COUNTIFS(Students!E:E, A64, Students!D:D, "&lt;&gt;"))</f>
        <v/>
      </c>
      <c r="F64" s="6" t="str">
        <f t="shared" si="0"/>
        <v/>
      </c>
      <c r="G64" s="7" t="str">
        <f t="shared" si="1"/>
        <v/>
      </c>
    </row>
    <row r="65" spans="4:7" x14ac:dyDescent="0.2">
      <c r="D65" s="6" t="str">
        <f>IF(LEN(TRIM(A65))=0,"",COUNTIFS(Students!E:E, A65))</f>
        <v/>
      </c>
      <c r="E65" s="6" t="str">
        <f>IF(LEN(TRIM(A65))=0,"",COUNTIFS(Students!E:E, A65, Students!D:D, "&lt;&gt;"))</f>
        <v/>
      </c>
      <c r="F65" s="6" t="str">
        <f t="shared" si="0"/>
        <v/>
      </c>
      <c r="G65" s="7" t="str">
        <f t="shared" si="1"/>
        <v/>
      </c>
    </row>
    <row r="66" spans="4:7" x14ac:dyDescent="0.2">
      <c r="D66" s="6" t="str">
        <f>IF(LEN(TRIM(A66))=0,"",COUNTIFS(Students!E:E, A66))</f>
        <v/>
      </c>
      <c r="E66" s="6" t="str">
        <f>IF(LEN(TRIM(A66))=0,"",COUNTIFS(Students!E:E, A66, Students!D:D, "&lt;&gt;"))</f>
        <v/>
      </c>
      <c r="F66" s="6" t="str">
        <f t="shared" si="0"/>
        <v/>
      </c>
      <c r="G66" s="7" t="str">
        <f t="shared" si="1"/>
        <v/>
      </c>
    </row>
    <row r="67" spans="4:7" x14ac:dyDescent="0.2">
      <c r="D67" s="6" t="str">
        <f>IF(LEN(TRIM(A67))=0,"",COUNTIFS(Students!E:E, A67))</f>
        <v/>
      </c>
      <c r="E67" s="6" t="str">
        <f>IF(LEN(TRIM(A67))=0,"",COUNTIFS(Students!E:E, A67, Students!D:D, "&lt;&gt;"))</f>
        <v/>
      </c>
      <c r="F67" s="6" t="str">
        <f t="shared" ref="F67:F130" si="2">IFERROR(D67-E67,"")</f>
        <v/>
      </c>
      <c r="G67" s="7" t="str">
        <f t="shared" ref="G67:G130" si="3">IFERROR(IF(D67=0, "N/A", E67/D67),"")</f>
        <v/>
      </c>
    </row>
    <row r="68" spans="4:7" x14ac:dyDescent="0.2">
      <c r="D68" s="6" t="str">
        <f>IF(LEN(TRIM(A68))=0,"",COUNTIFS(Students!E:E, A68))</f>
        <v/>
      </c>
      <c r="E68" s="6" t="str">
        <f>IF(LEN(TRIM(A68))=0,"",COUNTIFS(Students!E:E, A68, Students!D:D, "&lt;&gt;"))</f>
        <v/>
      </c>
      <c r="F68" s="6" t="str">
        <f t="shared" si="2"/>
        <v/>
      </c>
      <c r="G68" s="7" t="str">
        <f t="shared" si="3"/>
        <v/>
      </c>
    </row>
    <row r="69" spans="4:7" x14ac:dyDescent="0.2">
      <c r="D69" s="6" t="str">
        <f>IF(LEN(TRIM(A69))=0,"",COUNTIFS(Students!E:E, A69))</f>
        <v/>
      </c>
      <c r="E69" s="6" t="str">
        <f>IF(LEN(TRIM(A69))=0,"",COUNTIFS(Students!E:E, A69, Students!D:D, "&lt;&gt;"))</f>
        <v/>
      </c>
      <c r="F69" s="6" t="str">
        <f t="shared" si="2"/>
        <v/>
      </c>
      <c r="G69" s="7" t="str">
        <f t="shared" si="3"/>
        <v/>
      </c>
    </row>
    <row r="70" spans="4:7" x14ac:dyDescent="0.2">
      <c r="D70" s="6" t="str">
        <f>IF(LEN(TRIM(A70))=0,"",COUNTIFS(Students!E:E, A70))</f>
        <v/>
      </c>
      <c r="E70" s="6" t="str">
        <f>IF(LEN(TRIM(A70))=0,"",COUNTIFS(Students!E:E, A70, Students!D:D, "&lt;&gt;"))</f>
        <v/>
      </c>
      <c r="F70" s="6" t="str">
        <f t="shared" si="2"/>
        <v/>
      </c>
      <c r="G70" s="7" t="str">
        <f t="shared" si="3"/>
        <v/>
      </c>
    </row>
    <row r="71" spans="4:7" x14ac:dyDescent="0.2">
      <c r="D71" s="6" t="str">
        <f>IF(LEN(TRIM(A71))=0,"",COUNTIFS(Students!E:E, A71))</f>
        <v/>
      </c>
      <c r="E71" s="6" t="str">
        <f>IF(LEN(TRIM(A71))=0,"",COUNTIFS(Students!E:E, A71, Students!D:D, "&lt;&gt;"))</f>
        <v/>
      </c>
      <c r="F71" s="6" t="str">
        <f t="shared" si="2"/>
        <v/>
      </c>
      <c r="G71" s="7" t="str">
        <f t="shared" si="3"/>
        <v/>
      </c>
    </row>
    <row r="72" spans="4:7" x14ac:dyDescent="0.2">
      <c r="D72" s="6" t="str">
        <f>IF(LEN(TRIM(A72))=0,"",COUNTIFS(Students!E:E, A72))</f>
        <v/>
      </c>
      <c r="E72" s="6" t="str">
        <f>IF(LEN(TRIM(A72))=0,"",COUNTIFS(Students!E:E, A72, Students!D:D, "&lt;&gt;"))</f>
        <v/>
      </c>
      <c r="F72" s="6" t="str">
        <f t="shared" si="2"/>
        <v/>
      </c>
      <c r="G72" s="7" t="str">
        <f t="shared" si="3"/>
        <v/>
      </c>
    </row>
    <row r="73" spans="4:7" x14ac:dyDescent="0.2">
      <c r="D73" s="6" t="str">
        <f>IF(LEN(TRIM(A73))=0,"",COUNTIFS(Students!E:E, A73))</f>
        <v/>
      </c>
      <c r="E73" s="6" t="str">
        <f>IF(LEN(TRIM(A73))=0,"",COUNTIFS(Students!E:E, A73, Students!D:D, "&lt;&gt;"))</f>
        <v/>
      </c>
      <c r="F73" s="6" t="str">
        <f t="shared" si="2"/>
        <v/>
      </c>
      <c r="G73" s="7" t="str">
        <f t="shared" si="3"/>
        <v/>
      </c>
    </row>
    <row r="74" spans="4:7" x14ac:dyDescent="0.2">
      <c r="D74" s="6" t="str">
        <f>IF(LEN(TRIM(A74))=0,"",COUNTIFS(Students!E:E, A74))</f>
        <v/>
      </c>
      <c r="E74" s="6" t="str">
        <f>IF(LEN(TRIM(A74))=0,"",COUNTIFS(Students!E:E, A74, Students!D:D, "&lt;&gt;"))</f>
        <v/>
      </c>
      <c r="F74" s="6" t="str">
        <f t="shared" si="2"/>
        <v/>
      </c>
      <c r="G74" s="7" t="str">
        <f t="shared" si="3"/>
        <v/>
      </c>
    </row>
    <row r="75" spans="4:7" x14ac:dyDescent="0.2">
      <c r="D75" s="6" t="str">
        <f>IF(LEN(TRIM(A75))=0,"",COUNTIFS(Students!E:E, A75))</f>
        <v/>
      </c>
      <c r="E75" s="6" t="str">
        <f>IF(LEN(TRIM(A75))=0,"",COUNTIFS(Students!E:E, A75, Students!D:D, "&lt;&gt;"))</f>
        <v/>
      </c>
      <c r="F75" s="6" t="str">
        <f t="shared" si="2"/>
        <v/>
      </c>
      <c r="G75" s="7" t="str">
        <f t="shared" si="3"/>
        <v/>
      </c>
    </row>
    <row r="76" spans="4:7" x14ac:dyDescent="0.2">
      <c r="D76" s="6" t="str">
        <f>IF(LEN(TRIM(A76))=0,"",COUNTIFS(Students!E:E, A76))</f>
        <v/>
      </c>
      <c r="E76" s="6" t="str">
        <f>IF(LEN(TRIM(A76))=0,"",COUNTIFS(Students!E:E, A76, Students!D:D, "&lt;&gt;"))</f>
        <v/>
      </c>
      <c r="F76" s="6" t="str">
        <f t="shared" si="2"/>
        <v/>
      </c>
      <c r="G76" s="7" t="str">
        <f t="shared" si="3"/>
        <v/>
      </c>
    </row>
    <row r="77" spans="4:7" x14ac:dyDescent="0.2">
      <c r="D77" s="6" t="str">
        <f>IF(LEN(TRIM(A77))=0,"",COUNTIFS(Students!E:E, A77))</f>
        <v/>
      </c>
      <c r="E77" s="6" t="str">
        <f>IF(LEN(TRIM(A77))=0,"",COUNTIFS(Students!E:E, A77, Students!D:D, "&lt;&gt;"))</f>
        <v/>
      </c>
      <c r="F77" s="6" t="str">
        <f t="shared" si="2"/>
        <v/>
      </c>
      <c r="G77" s="7" t="str">
        <f t="shared" si="3"/>
        <v/>
      </c>
    </row>
    <row r="78" spans="4:7" x14ac:dyDescent="0.2">
      <c r="D78" s="6" t="str">
        <f>IF(LEN(TRIM(A78))=0,"",COUNTIFS(Students!E:E, A78))</f>
        <v/>
      </c>
      <c r="E78" s="6" t="str">
        <f>IF(LEN(TRIM(A78))=0,"",COUNTIFS(Students!E:E, A78, Students!D:D, "&lt;&gt;"))</f>
        <v/>
      </c>
      <c r="F78" s="6" t="str">
        <f t="shared" si="2"/>
        <v/>
      </c>
      <c r="G78" s="7" t="str">
        <f t="shared" si="3"/>
        <v/>
      </c>
    </row>
    <row r="79" spans="4:7" x14ac:dyDescent="0.2">
      <c r="D79" s="6" t="str">
        <f>IF(LEN(TRIM(A79))=0,"",COUNTIFS(Students!E:E, A79))</f>
        <v/>
      </c>
      <c r="E79" s="6" t="str">
        <f>IF(LEN(TRIM(A79))=0,"",COUNTIFS(Students!E:E, A79, Students!D:D, "&lt;&gt;"))</f>
        <v/>
      </c>
      <c r="F79" s="6" t="str">
        <f t="shared" si="2"/>
        <v/>
      </c>
      <c r="G79" s="7" t="str">
        <f t="shared" si="3"/>
        <v/>
      </c>
    </row>
    <row r="80" spans="4:7" x14ac:dyDescent="0.2">
      <c r="D80" s="6" t="str">
        <f>IF(LEN(TRIM(A80))=0,"",COUNTIFS(Students!E:E, A80))</f>
        <v/>
      </c>
      <c r="E80" s="6" t="str">
        <f>IF(LEN(TRIM(A80))=0,"",COUNTIFS(Students!E:E, A80, Students!D:D, "&lt;&gt;"))</f>
        <v/>
      </c>
      <c r="F80" s="6" t="str">
        <f t="shared" si="2"/>
        <v/>
      </c>
      <c r="G80" s="7" t="str">
        <f t="shared" si="3"/>
        <v/>
      </c>
    </row>
    <row r="81" spans="4:7" x14ac:dyDescent="0.2">
      <c r="D81" s="6" t="str">
        <f>IF(LEN(TRIM(A81))=0,"",COUNTIFS(Students!E:E, A81))</f>
        <v/>
      </c>
      <c r="E81" s="6" t="str">
        <f>IF(LEN(TRIM(A81))=0,"",COUNTIFS(Students!E:E, A81, Students!D:D, "&lt;&gt;"))</f>
        <v/>
      </c>
      <c r="F81" s="6" t="str">
        <f t="shared" si="2"/>
        <v/>
      </c>
      <c r="G81" s="7" t="str">
        <f t="shared" si="3"/>
        <v/>
      </c>
    </row>
    <row r="82" spans="4:7" x14ac:dyDescent="0.2">
      <c r="D82" s="6" t="str">
        <f>IF(LEN(TRIM(A82))=0,"",COUNTIFS(Students!E:E, A82))</f>
        <v/>
      </c>
      <c r="E82" s="6" t="str">
        <f>IF(LEN(TRIM(A82))=0,"",COUNTIFS(Students!E:E, A82, Students!D:D, "&lt;&gt;"))</f>
        <v/>
      </c>
      <c r="F82" s="6" t="str">
        <f t="shared" si="2"/>
        <v/>
      </c>
      <c r="G82" s="7" t="str">
        <f t="shared" si="3"/>
        <v/>
      </c>
    </row>
    <row r="83" spans="4:7" x14ac:dyDescent="0.2">
      <c r="D83" s="6" t="str">
        <f>IF(LEN(TRIM(A83))=0,"",COUNTIFS(Students!E:E, A83))</f>
        <v/>
      </c>
      <c r="E83" s="6" t="str">
        <f>IF(LEN(TRIM(A83))=0,"",COUNTIFS(Students!E:E, A83, Students!D:D, "&lt;&gt;"))</f>
        <v/>
      </c>
      <c r="F83" s="6" t="str">
        <f t="shared" si="2"/>
        <v/>
      </c>
      <c r="G83" s="7" t="str">
        <f t="shared" si="3"/>
        <v/>
      </c>
    </row>
    <row r="84" spans="4:7" x14ac:dyDescent="0.2">
      <c r="D84" s="6" t="str">
        <f>IF(LEN(TRIM(A84))=0,"",COUNTIFS(Students!E:E, A84))</f>
        <v/>
      </c>
      <c r="E84" s="6" t="str">
        <f>IF(LEN(TRIM(A84))=0,"",COUNTIFS(Students!E:E, A84, Students!D:D, "&lt;&gt;"))</f>
        <v/>
      </c>
      <c r="F84" s="6" t="str">
        <f t="shared" si="2"/>
        <v/>
      </c>
      <c r="G84" s="7" t="str">
        <f t="shared" si="3"/>
        <v/>
      </c>
    </row>
    <row r="85" spans="4:7" x14ac:dyDescent="0.2">
      <c r="D85" s="6" t="str">
        <f>IF(LEN(TRIM(A85))=0,"",COUNTIFS(Students!E:E, A85))</f>
        <v/>
      </c>
      <c r="E85" s="6" t="str">
        <f>IF(LEN(TRIM(A85))=0,"",COUNTIFS(Students!E:E, A85, Students!D:D, "&lt;&gt;"))</f>
        <v/>
      </c>
      <c r="F85" s="6" t="str">
        <f t="shared" si="2"/>
        <v/>
      </c>
      <c r="G85" s="7" t="str">
        <f t="shared" si="3"/>
        <v/>
      </c>
    </row>
    <row r="86" spans="4:7" x14ac:dyDescent="0.2">
      <c r="D86" s="6" t="str">
        <f>IF(LEN(TRIM(A86))=0,"",COUNTIFS(Students!E:E, A86))</f>
        <v/>
      </c>
      <c r="E86" s="6" t="str">
        <f>IF(LEN(TRIM(A86))=0,"",COUNTIFS(Students!E:E, A86, Students!D:D, "&lt;&gt;"))</f>
        <v/>
      </c>
      <c r="F86" s="6" t="str">
        <f t="shared" si="2"/>
        <v/>
      </c>
      <c r="G86" s="7" t="str">
        <f t="shared" si="3"/>
        <v/>
      </c>
    </row>
    <row r="87" spans="4:7" x14ac:dyDescent="0.2">
      <c r="D87" s="6" t="str">
        <f>IF(LEN(TRIM(A87))=0,"",COUNTIFS(Students!E:E, A87))</f>
        <v/>
      </c>
      <c r="E87" s="6" t="str">
        <f>IF(LEN(TRIM(A87))=0,"",COUNTIFS(Students!E:E, A87, Students!D:D, "&lt;&gt;"))</f>
        <v/>
      </c>
      <c r="F87" s="6" t="str">
        <f t="shared" si="2"/>
        <v/>
      </c>
      <c r="G87" s="7" t="str">
        <f t="shared" si="3"/>
        <v/>
      </c>
    </row>
    <row r="88" spans="4:7" x14ac:dyDescent="0.2">
      <c r="D88" s="6" t="str">
        <f>IF(LEN(TRIM(A88))=0,"",COUNTIFS(Students!E:E, A88))</f>
        <v/>
      </c>
      <c r="E88" s="6" t="str">
        <f>IF(LEN(TRIM(A88))=0,"",COUNTIFS(Students!E:E, A88, Students!D:D, "&lt;&gt;"))</f>
        <v/>
      </c>
      <c r="F88" s="6" t="str">
        <f t="shared" si="2"/>
        <v/>
      </c>
      <c r="G88" s="7" t="str">
        <f t="shared" si="3"/>
        <v/>
      </c>
    </row>
    <row r="89" spans="4:7" x14ac:dyDescent="0.2">
      <c r="D89" s="6" t="str">
        <f>IF(LEN(TRIM(A89))=0,"",COUNTIFS(Students!E:E, A89))</f>
        <v/>
      </c>
      <c r="E89" s="6" t="str">
        <f>IF(LEN(TRIM(A89))=0,"",COUNTIFS(Students!E:E, A89, Students!D:D, "&lt;&gt;"))</f>
        <v/>
      </c>
      <c r="F89" s="6" t="str">
        <f t="shared" si="2"/>
        <v/>
      </c>
      <c r="G89" s="7" t="str">
        <f t="shared" si="3"/>
        <v/>
      </c>
    </row>
    <row r="90" spans="4:7" x14ac:dyDescent="0.2">
      <c r="D90" s="6" t="str">
        <f>IF(LEN(TRIM(A90))=0,"",COUNTIFS(Students!E:E, A90))</f>
        <v/>
      </c>
      <c r="E90" s="6" t="str">
        <f>IF(LEN(TRIM(A90))=0,"",COUNTIFS(Students!E:E, A90, Students!D:D, "&lt;&gt;"))</f>
        <v/>
      </c>
      <c r="F90" s="6" t="str">
        <f t="shared" si="2"/>
        <v/>
      </c>
      <c r="G90" s="7" t="str">
        <f t="shared" si="3"/>
        <v/>
      </c>
    </row>
    <row r="91" spans="4:7" x14ac:dyDescent="0.2">
      <c r="D91" s="6" t="str">
        <f>IF(LEN(TRIM(A91))=0,"",COUNTIFS(Students!E:E, A91))</f>
        <v/>
      </c>
      <c r="E91" s="6" t="str">
        <f>IF(LEN(TRIM(A91))=0,"",COUNTIFS(Students!E:E, A91, Students!D:D, "&lt;&gt;"))</f>
        <v/>
      </c>
      <c r="F91" s="6" t="str">
        <f t="shared" si="2"/>
        <v/>
      </c>
      <c r="G91" s="7" t="str">
        <f t="shared" si="3"/>
        <v/>
      </c>
    </row>
    <row r="92" spans="4:7" x14ac:dyDescent="0.2">
      <c r="D92" s="6" t="str">
        <f>IF(LEN(TRIM(A92))=0,"",COUNTIFS(Students!E:E, A92))</f>
        <v/>
      </c>
      <c r="E92" s="6" t="str">
        <f>IF(LEN(TRIM(A92))=0,"",COUNTIFS(Students!E:E, A92, Students!D:D, "&lt;&gt;"))</f>
        <v/>
      </c>
      <c r="F92" s="6" t="str">
        <f t="shared" si="2"/>
        <v/>
      </c>
      <c r="G92" s="7" t="str">
        <f t="shared" si="3"/>
        <v/>
      </c>
    </row>
    <row r="93" spans="4:7" x14ac:dyDescent="0.2">
      <c r="D93" s="6" t="str">
        <f>IF(LEN(TRIM(A93))=0,"",COUNTIFS(Students!E:E, A93))</f>
        <v/>
      </c>
      <c r="E93" s="6" t="str">
        <f>IF(LEN(TRIM(A93))=0,"",COUNTIFS(Students!E:E, A93, Students!D:D, "&lt;&gt;"))</f>
        <v/>
      </c>
      <c r="F93" s="6" t="str">
        <f t="shared" si="2"/>
        <v/>
      </c>
      <c r="G93" s="7" t="str">
        <f t="shared" si="3"/>
        <v/>
      </c>
    </row>
    <row r="94" spans="4:7" x14ac:dyDescent="0.2">
      <c r="D94" s="6" t="str">
        <f>IF(LEN(TRIM(A94))=0,"",COUNTIFS(Students!E:E, A94))</f>
        <v/>
      </c>
      <c r="E94" s="6" t="str">
        <f>IF(LEN(TRIM(A94))=0,"",COUNTIFS(Students!E:E, A94, Students!D:D, "&lt;&gt;"))</f>
        <v/>
      </c>
      <c r="F94" s="6" t="str">
        <f t="shared" si="2"/>
        <v/>
      </c>
      <c r="G94" s="7" t="str">
        <f t="shared" si="3"/>
        <v/>
      </c>
    </row>
    <row r="95" spans="4:7" x14ac:dyDescent="0.2">
      <c r="D95" s="6" t="str">
        <f>IF(LEN(TRIM(A95))=0,"",COUNTIFS(Students!E:E, A95))</f>
        <v/>
      </c>
      <c r="E95" s="6" t="str">
        <f>IF(LEN(TRIM(A95))=0,"",COUNTIFS(Students!E:E, A95, Students!D:D, "&lt;&gt;"))</f>
        <v/>
      </c>
      <c r="F95" s="6" t="str">
        <f t="shared" si="2"/>
        <v/>
      </c>
      <c r="G95" s="7" t="str">
        <f t="shared" si="3"/>
        <v/>
      </c>
    </row>
    <row r="96" spans="4:7" x14ac:dyDescent="0.2">
      <c r="D96" s="6" t="str">
        <f>IF(LEN(TRIM(A96))=0,"",COUNTIFS(Students!E:E, A96))</f>
        <v/>
      </c>
      <c r="E96" s="6" t="str">
        <f>IF(LEN(TRIM(A96))=0,"",COUNTIFS(Students!E:E, A96, Students!D:D, "&lt;&gt;"))</f>
        <v/>
      </c>
      <c r="F96" s="6" t="str">
        <f t="shared" si="2"/>
        <v/>
      </c>
      <c r="G96" s="7" t="str">
        <f t="shared" si="3"/>
        <v/>
      </c>
    </row>
    <row r="97" spans="4:7" x14ac:dyDescent="0.2">
      <c r="D97" s="6" t="str">
        <f>IF(LEN(TRIM(A97))=0,"",COUNTIFS(Students!E:E, A97))</f>
        <v/>
      </c>
      <c r="E97" s="6" t="str">
        <f>IF(LEN(TRIM(A97))=0,"",COUNTIFS(Students!E:E, A97, Students!D:D, "&lt;&gt;"))</f>
        <v/>
      </c>
      <c r="F97" s="6" t="str">
        <f t="shared" si="2"/>
        <v/>
      </c>
      <c r="G97" s="7" t="str">
        <f t="shared" si="3"/>
        <v/>
      </c>
    </row>
    <row r="98" spans="4:7" x14ac:dyDescent="0.2">
      <c r="D98" s="6" t="str">
        <f>IF(LEN(TRIM(A98))=0,"",COUNTIFS(Students!E:E, A98))</f>
        <v/>
      </c>
      <c r="E98" s="6" t="str">
        <f>IF(LEN(TRIM(A98))=0,"",COUNTIFS(Students!E:E, A98, Students!D:D, "&lt;&gt;"))</f>
        <v/>
      </c>
      <c r="F98" s="6" t="str">
        <f t="shared" si="2"/>
        <v/>
      </c>
      <c r="G98" s="7" t="str">
        <f t="shared" si="3"/>
        <v/>
      </c>
    </row>
    <row r="99" spans="4:7" x14ac:dyDescent="0.2">
      <c r="D99" s="6" t="str">
        <f>IF(LEN(TRIM(A99))=0,"",COUNTIFS(Students!E:E, A99))</f>
        <v/>
      </c>
      <c r="E99" s="6" t="str">
        <f>IF(LEN(TRIM(A99))=0,"",COUNTIFS(Students!E:E, A99, Students!D:D, "&lt;&gt;"))</f>
        <v/>
      </c>
      <c r="F99" s="6" t="str">
        <f t="shared" si="2"/>
        <v/>
      </c>
      <c r="G99" s="7" t="str">
        <f t="shared" si="3"/>
        <v/>
      </c>
    </row>
    <row r="100" spans="4:7" x14ac:dyDescent="0.2">
      <c r="D100" s="6" t="str">
        <f>IF(LEN(TRIM(A100))=0,"",COUNTIFS(Students!E:E, A100))</f>
        <v/>
      </c>
      <c r="E100" s="6" t="str">
        <f>IF(LEN(TRIM(A100))=0,"",COUNTIFS(Students!E:E, A100, Students!D:D, "&lt;&gt;"))</f>
        <v/>
      </c>
      <c r="F100" s="6" t="str">
        <f t="shared" si="2"/>
        <v/>
      </c>
      <c r="G100" s="7" t="str">
        <f t="shared" si="3"/>
        <v/>
      </c>
    </row>
    <row r="101" spans="4:7" x14ac:dyDescent="0.2">
      <c r="D101" s="6" t="str">
        <f>IF(LEN(TRIM(A101))=0,"",COUNTIFS(Students!E:E, A101))</f>
        <v/>
      </c>
      <c r="E101" s="6" t="str">
        <f>IF(LEN(TRIM(A101))=0,"",COUNTIFS(Students!E:E, A101, Students!D:D, "&lt;&gt;"))</f>
        <v/>
      </c>
      <c r="F101" s="6" t="str">
        <f t="shared" si="2"/>
        <v/>
      </c>
      <c r="G101" s="7" t="str">
        <f t="shared" si="3"/>
        <v/>
      </c>
    </row>
    <row r="102" spans="4:7" x14ac:dyDescent="0.2">
      <c r="D102" s="6" t="str">
        <f>IF(LEN(TRIM(A102))=0,"",COUNTIFS(Students!E:E, A102))</f>
        <v/>
      </c>
      <c r="E102" s="6" t="str">
        <f>IF(LEN(TRIM(A102))=0,"",COUNTIFS(Students!E:E, A102, Students!D:D, "&lt;&gt;"))</f>
        <v/>
      </c>
      <c r="F102" s="6" t="str">
        <f t="shared" si="2"/>
        <v/>
      </c>
      <c r="G102" s="7" t="str">
        <f t="shared" si="3"/>
        <v/>
      </c>
    </row>
    <row r="103" spans="4:7" x14ac:dyDescent="0.2">
      <c r="D103" s="6" t="str">
        <f>IF(LEN(TRIM(A103))=0,"",COUNTIFS(Students!E:E, A103))</f>
        <v/>
      </c>
      <c r="E103" s="6" t="str">
        <f>IF(LEN(TRIM(A103))=0,"",COUNTIFS(Students!E:E, A103, Students!D:D, "&lt;&gt;"))</f>
        <v/>
      </c>
      <c r="F103" s="6" t="str">
        <f t="shared" si="2"/>
        <v/>
      </c>
      <c r="G103" s="7" t="str">
        <f t="shared" si="3"/>
        <v/>
      </c>
    </row>
    <row r="104" spans="4:7" x14ac:dyDescent="0.2">
      <c r="D104" s="6" t="str">
        <f>IF(LEN(TRIM(A104))=0,"",COUNTIFS(Students!E:E, A104))</f>
        <v/>
      </c>
      <c r="E104" s="6" t="str">
        <f>IF(LEN(TRIM(A104))=0,"",COUNTIFS(Students!E:E, A104, Students!D:D, "&lt;&gt;"))</f>
        <v/>
      </c>
      <c r="F104" s="6" t="str">
        <f t="shared" si="2"/>
        <v/>
      </c>
      <c r="G104" s="7" t="str">
        <f t="shared" si="3"/>
        <v/>
      </c>
    </row>
    <row r="105" spans="4:7" x14ac:dyDescent="0.2">
      <c r="D105" s="6" t="str">
        <f>IF(LEN(TRIM(A105))=0,"",COUNTIFS(Students!E:E, A105))</f>
        <v/>
      </c>
      <c r="E105" s="6" t="str">
        <f>IF(LEN(TRIM(A105))=0,"",COUNTIFS(Students!E:E, A105, Students!D:D, "&lt;&gt;"))</f>
        <v/>
      </c>
      <c r="F105" s="6" t="str">
        <f t="shared" si="2"/>
        <v/>
      </c>
      <c r="G105" s="7" t="str">
        <f t="shared" si="3"/>
        <v/>
      </c>
    </row>
    <row r="106" spans="4:7" x14ac:dyDescent="0.2">
      <c r="D106" s="6" t="str">
        <f>IF(LEN(TRIM(A106))=0,"",COUNTIFS(Students!E:E, A106))</f>
        <v/>
      </c>
      <c r="E106" s="6" t="str">
        <f>IF(LEN(TRIM(A106))=0,"",COUNTIFS(Students!E:E, A106, Students!D:D, "&lt;&gt;"))</f>
        <v/>
      </c>
      <c r="F106" s="6" t="str">
        <f t="shared" si="2"/>
        <v/>
      </c>
      <c r="G106" s="7" t="str">
        <f t="shared" si="3"/>
        <v/>
      </c>
    </row>
    <row r="107" spans="4:7" x14ac:dyDescent="0.2">
      <c r="D107" s="6" t="str">
        <f>IF(LEN(TRIM(A107))=0,"",COUNTIFS(Students!E:E, A107))</f>
        <v/>
      </c>
      <c r="E107" s="6" t="str">
        <f>IF(LEN(TRIM(A107))=0,"",COUNTIFS(Students!E:E, A107, Students!D:D, "&lt;&gt;"))</f>
        <v/>
      </c>
      <c r="F107" s="6" t="str">
        <f t="shared" si="2"/>
        <v/>
      </c>
      <c r="G107" s="7" t="str">
        <f t="shared" si="3"/>
        <v/>
      </c>
    </row>
    <row r="108" spans="4:7" x14ac:dyDescent="0.2">
      <c r="D108" s="6" t="str">
        <f>IF(LEN(TRIM(A108))=0,"",COUNTIFS(Students!E:E, A108))</f>
        <v/>
      </c>
      <c r="E108" s="6" t="str">
        <f>IF(LEN(TRIM(A108))=0,"",COUNTIFS(Students!E:E, A108, Students!D:D, "&lt;&gt;"))</f>
        <v/>
      </c>
      <c r="F108" s="6" t="str">
        <f t="shared" si="2"/>
        <v/>
      </c>
      <c r="G108" s="7" t="str">
        <f t="shared" si="3"/>
        <v/>
      </c>
    </row>
    <row r="109" spans="4:7" x14ac:dyDescent="0.2">
      <c r="D109" s="6" t="str">
        <f>IF(LEN(TRIM(A109))=0,"",COUNTIFS(Students!E:E, A109))</f>
        <v/>
      </c>
      <c r="E109" s="6" t="str">
        <f>IF(LEN(TRIM(A109))=0,"",COUNTIFS(Students!E:E, A109, Students!D:D, "&lt;&gt;"))</f>
        <v/>
      </c>
      <c r="F109" s="6" t="str">
        <f t="shared" si="2"/>
        <v/>
      </c>
      <c r="G109" s="7" t="str">
        <f t="shared" si="3"/>
        <v/>
      </c>
    </row>
    <row r="110" spans="4:7" x14ac:dyDescent="0.2">
      <c r="D110" s="6" t="str">
        <f>IF(LEN(TRIM(A110))=0,"",COUNTIFS(Students!E:E, A110))</f>
        <v/>
      </c>
      <c r="E110" s="6" t="str">
        <f>IF(LEN(TRIM(A110))=0,"",COUNTIFS(Students!E:E, A110, Students!D:D, "&lt;&gt;"))</f>
        <v/>
      </c>
      <c r="F110" s="6" t="str">
        <f t="shared" si="2"/>
        <v/>
      </c>
      <c r="G110" s="7" t="str">
        <f t="shared" si="3"/>
        <v/>
      </c>
    </row>
    <row r="111" spans="4:7" x14ac:dyDescent="0.2">
      <c r="D111" s="6" t="str">
        <f>IF(LEN(TRIM(A111))=0,"",COUNTIFS(Students!E:E, A111))</f>
        <v/>
      </c>
      <c r="E111" s="6" t="str">
        <f>IF(LEN(TRIM(A111))=0,"",COUNTIFS(Students!E:E, A111, Students!D:D, "&lt;&gt;"))</f>
        <v/>
      </c>
      <c r="F111" s="6" t="str">
        <f t="shared" si="2"/>
        <v/>
      </c>
      <c r="G111" s="7" t="str">
        <f t="shared" si="3"/>
        <v/>
      </c>
    </row>
    <row r="112" spans="4:7" x14ac:dyDescent="0.2">
      <c r="D112" s="6" t="str">
        <f>IF(LEN(TRIM(A112))=0,"",COUNTIFS(Students!E:E, A112))</f>
        <v/>
      </c>
      <c r="E112" s="6" t="str">
        <f>IF(LEN(TRIM(A112))=0,"",COUNTIFS(Students!E:E, A112, Students!D:D, "&lt;&gt;"))</f>
        <v/>
      </c>
      <c r="F112" s="6" t="str">
        <f t="shared" si="2"/>
        <v/>
      </c>
      <c r="G112" s="7" t="str">
        <f t="shared" si="3"/>
        <v/>
      </c>
    </row>
    <row r="113" spans="4:7" x14ac:dyDescent="0.2">
      <c r="D113" s="6" t="str">
        <f>IF(LEN(TRIM(A113))=0,"",COUNTIFS(Students!E:E, A113))</f>
        <v/>
      </c>
      <c r="E113" s="6" t="str">
        <f>IF(LEN(TRIM(A113))=0,"",COUNTIFS(Students!E:E, A113, Students!D:D, "&lt;&gt;"))</f>
        <v/>
      </c>
      <c r="F113" s="6" t="str">
        <f t="shared" si="2"/>
        <v/>
      </c>
      <c r="G113" s="7" t="str">
        <f t="shared" si="3"/>
        <v/>
      </c>
    </row>
    <row r="114" spans="4:7" x14ac:dyDescent="0.2">
      <c r="D114" s="6" t="str">
        <f>IF(LEN(TRIM(A114))=0,"",COUNTIFS(Students!E:E, A114))</f>
        <v/>
      </c>
      <c r="E114" s="6" t="str">
        <f>IF(LEN(TRIM(A114))=0,"",COUNTIFS(Students!E:E, A114, Students!D:D, "&lt;&gt;"))</f>
        <v/>
      </c>
      <c r="F114" s="6" t="str">
        <f t="shared" si="2"/>
        <v/>
      </c>
      <c r="G114" s="7" t="str">
        <f t="shared" si="3"/>
        <v/>
      </c>
    </row>
    <row r="115" spans="4:7" x14ac:dyDescent="0.2">
      <c r="D115" s="6" t="str">
        <f>IF(LEN(TRIM(A115))=0,"",COUNTIFS(Students!E:E, A115))</f>
        <v/>
      </c>
      <c r="E115" s="6" t="str">
        <f>IF(LEN(TRIM(A115))=0,"",COUNTIFS(Students!E:E, A115, Students!D:D, "&lt;&gt;"))</f>
        <v/>
      </c>
      <c r="F115" s="6" t="str">
        <f t="shared" si="2"/>
        <v/>
      </c>
      <c r="G115" s="7" t="str">
        <f t="shared" si="3"/>
        <v/>
      </c>
    </row>
    <row r="116" spans="4:7" x14ac:dyDescent="0.2">
      <c r="D116" s="6" t="str">
        <f>IF(LEN(TRIM(A116))=0,"",COUNTIFS(Students!E:E, A116))</f>
        <v/>
      </c>
      <c r="E116" s="6" t="str">
        <f>IF(LEN(TRIM(A116))=0,"",COUNTIFS(Students!E:E, A116, Students!D:D, "&lt;&gt;"))</f>
        <v/>
      </c>
      <c r="F116" s="6" t="str">
        <f t="shared" si="2"/>
        <v/>
      </c>
      <c r="G116" s="7" t="str">
        <f t="shared" si="3"/>
        <v/>
      </c>
    </row>
    <row r="117" spans="4:7" x14ac:dyDescent="0.2">
      <c r="D117" s="6" t="str">
        <f>IF(LEN(TRIM(A117))=0,"",COUNTIFS(Students!E:E, A117))</f>
        <v/>
      </c>
      <c r="E117" s="6" t="str">
        <f>IF(LEN(TRIM(A117))=0,"",COUNTIFS(Students!E:E, A117, Students!D:D, "&lt;&gt;"))</f>
        <v/>
      </c>
      <c r="F117" s="6" t="str">
        <f t="shared" si="2"/>
        <v/>
      </c>
      <c r="G117" s="7" t="str">
        <f t="shared" si="3"/>
        <v/>
      </c>
    </row>
    <row r="118" spans="4:7" x14ac:dyDescent="0.2">
      <c r="D118" s="6" t="str">
        <f>IF(LEN(TRIM(A118))=0,"",COUNTIFS(Students!E:E, A118))</f>
        <v/>
      </c>
      <c r="E118" s="6" t="str">
        <f>IF(LEN(TRIM(A118))=0,"",COUNTIFS(Students!E:E, A118, Students!D:D, "&lt;&gt;"))</f>
        <v/>
      </c>
      <c r="F118" s="6" t="str">
        <f t="shared" si="2"/>
        <v/>
      </c>
      <c r="G118" s="7" t="str">
        <f t="shared" si="3"/>
        <v/>
      </c>
    </row>
    <row r="119" spans="4:7" x14ac:dyDescent="0.2">
      <c r="D119" s="6" t="str">
        <f>IF(LEN(TRIM(A119))=0,"",COUNTIFS(Students!E:E, A119))</f>
        <v/>
      </c>
      <c r="E119" s="6" t="str">
        <f>IF(LEN(TRIM(A119))=0,"",COUNTIFS(Students!E:E, A119, Students!D:D, "&lt;&gt;"))</f>
        <v/>
      </c>
      <c r="F119" s="6" t="str">
        <f t="shared" si="2"/>
        <v/>
      </c>
      <c r="G119" s="7" t="str">
        <f t="shared" si="3"/>
        <v/>
      </c>
    </row>
    <row r="120" spans="4:7" x14ac:dyDescent="0.2">
      <c r="D120" s="6" t="str">
        <f>IF(LEN(TRIM(A120))=0,"",COUNTIFS(Students!E:E, A120))</f>
        <v/>
      </c>
      <c r="E120" s="6" t="str">
        <f>IF(LEN(TRIM(A120))=0,"",COUNTIFS(Students!E:E, A120, Students!D:D, "&lt;&gt;"))</f>
        <v/>
      </c>
      <c r="F120" s="6" t="str">
        <f t="shared" si="2"/>
        <v/>
      </c>
      <c r="G120" s="7" t="str">
        <f t="shared" si="3"/>
        <v/>
      </c>
    </row>
    <row r="121" spans="4:7" x14ac:dyDescent="0.2">
      <c r="D121" s="6" t="str">
        <f>IF(LEN(TRIM(A121))=0,"",COUNTIFS(Students!E:E, A121))</f>
        <v/>
      </c>
      <c r="E121" s="6" t="str">
        <f>IF(LEN(TRIM(A121))=0,"",COUNTIFS(Students!E:E, A121, Students!D:D, "&lt;&gt;"))</f>
        <v/>
      </c>
      <c r="F121" s="6" t="str">
        <f t="shared" si="2"/>
        <v/>
      </c>
      <c r="G121" s="7" t="str">
        <f t="shared" si="3"/>
        <v/>
      </c>
    </row>
    <row r="122" spans="4:7" x14ac:dyDescent="0.2">
      <c r="D122" s="6" t="str">
        <f>IF(LEN(TRIM(A122))=0,"",COUNTIFS(Students!E:E, A122))</f>
        <v/>
      </c>
      <c r="E122" s="6" t="str">
        <f>IF(LEN(TRIM(A122))=0,"",COUNTIFS(Students!E:E, A122, Students!D:D, "&lt;&gt;"))</f>
        <v/>
      </c>
      <c r="F122" s="6" t="str">
        <f t="shared" si="2"/>
        <v/>
      </c>
      <c r="G122" s="7" t="str">
        <f t="shared" si="3"/>
        <v/>
      </c>
    </row>
    <row r="123" spans="4:7" x14ac:dyDescent="0.2">
      <c r="D123" s="6" t="str">
        <f>IF(LEN(TRIM(A123))=0,"",COUNTIFS(Students!E:E, A123))</f>
        <v/>
      </c>
      <c r="E123" s="6" t="str">
        <f>IF(LEN(TRIM(A123))=0,"",COUNTIFS(Students!E:E, A123, Students!D:D, "&lt;&gt;"))</f>
        <v/>
      </c>
      <c r="F123" s="6" t="str">
        <f t="shared" si="2"/>
        <v/>
      </c>
      <c r="G123" s="7" t="str">
        <f t="shared" si="3"/>
        <v/>
      </c>
    </row>
    <row r="124" spans="4:7" x14ac:dyDescent="0.2">
      <c r="D124" s="6" t="str">
        <f>IF(LEN(TRIM(A124))=0,"",COUNTIFS(Students!E:E, A124))</f>
        <v/>
      </c>
      <c r="E124" s="6" t="str">
        <f>IF(LEN(TRIM(A124))=0,"",COUNTIFS(Students!E:E, A124, Students!D:D, "&lt;&gt;"))</f>
        <v/>
      </c>
      <c r="F124" s="6" t="str">
        <f t="shared" si="2"/>
        <v/>
      </c>
      <c r="G124" s="7" t="str">
        <f t="shared" si="3"/>
        <v/>
      </c>
    </row>
    <row r="125" spans="4:7" x14ac:dyDescent="0.2">
      <c r="D125" s="6" t="str">
        <f>IF(LEN(TRIM(A125))=0,"",COUNTIFS(Students!E:E, A125))</f>
        <v/>
      </c>
      <c r="E125" s="6" t="str">
        <f>IF(LEN(TRIM(A125))=0,"",COUNTIFS(Students!E:E, A125, Students!D:D, "&lt;&gt;"))</f>
        <v/>
      </c>
      <c r="F125" s="6" t="str">
        <f t="shared" si="2"/>
        <v/>
      </c>
      <c r="G125" s="7" t="str">
        <f t="shared" si="3"/>
        <v/>
      </c>
    </row>
    <row r="126" spans="4:7" x14ac:dyDescent="0.2">
      <c r="D126" s="6" t="str">
        <f>IF(LEN(TRIM(A126))=0,"",COUNTIFS(Students!E:E, A126))</f>
        <v/>
      </c>
      <c r="E126" s="6" t="str">
        <f>IF(LEN(TRIM(A126))=0,"",COUNTIFS(Students!E:E, A126, Students!D:D, "&lt;&gt;"))</f>
        <v/>
      </c>
      <c r="F126" s="6" t="str">
        <f t="shared" si="2"/>
        <v/>
      </c>
      <c r="G126" s="7" t="str">
        <f t="shared" si="3"/>
        <v/>
      </c>
    </row>
    <row r="127" spans="4:7" x14ac:dyDescent="0.2">
      <c r="D127" s="6" t="str">
        <f>IF(LEN(TRIM(A127))=0,"",COUNTIFS(Students!E:E, A127))</f>
        <v/>
      </c>
      <c r="E127" s="6" t="str">
        <f>IF(LEN(TRIM(A127))=0,"",COUNTIFS(Students!E:E, A127, Students!D:D, "&lt;&gt;"))</f>
        <v/>
      </c>
      <c r="F127" s="6" t="str">
        <f t="shared" si="2"/>
        <v/>
      </c>
      <c r="G127" s="7" t="str">
        <f t="shared" si="3"/>
        <v/>
      </c>
    </row>
    <row r="128" spans="4:7" x14ac:dyDescent="0.2">
      <c r="D128" s="6" t="str">
        <f>IF(LEN(TRIM(A128))=0,"",COUNTIFS(Students!E:E, A128))</f>
        <v/>
      </c>
      <c r="E128" s="6" t="str">
        <f>IF(LEN(TRIM(A128))=0,"",COUNTIFS(Students!E:E, A128, Students!D:D, "&lt;&gt;"))</f>
        <v/>
      </c>
      <c r="F128" s="6" t="str">
        <f t="shared" si="2"/>
        <v/>
      </c>
      <c r="G128" s="7" t="str">
        <f t="shared" si="3"/>
        <v/>
      </c>
    </row>
    <row r="129" spans="4:7" x14ac:dyDescent="0.2">
      <c r="D129" s="6" t="str">
        <f>IF(LEN(TRIM(A129))=0,"",COUNTIFS(Students!E:E, A129))</f>
        <v/>
      </c>
      <c r="E129" s="6" t="str">
        <f>IF(LEN(TRIM(A129))=0,"",COUNTIFS(Students!E:E, A129, Students!D:D, "&lt;&gt;"))</f>
        <v/>
      </c>
      <c r="F129" s="6" t="str">
        <f t="shared" si="2"/>
        <v/>
      </c>
      <c r="G129" s="7" t="str">
        <f t="shared" si="3"/>
        <v/>
      </c>
    </row>
    <row r="130" spans="4:7" x14ac:dyDescent="0.2">
      <c r="D130" s="6" t="str">
        <f>IF(LEN(TRIM(A130))=0,"",COUNTIFS(Students!E:E, A130))</f>
        <v/>
      </c>
      <c r="E130" s="6" t="str">
        <f>IF(LEN(TRIM(A130))=0,"",COUNTIFS(Students!E:E, A130, Students!D:D, "&lt;&gt;"))</f>
        <v/>
      </c>
      <c r="F130" s="6" t="str">
        <f t="shared" si="2"/>
        <v/>
      </c>
      <c r="G130" s="7" t="str">
        <f t="shared" si="3"/>
        <v/>
      </c>
    </row>
    <row r="131" spans="4:7" x14ac:dyDescent="0.2">
      <c r="D131" s="6" t="str">
        <f>IF(LEN(TRIM(A131))=0,"",COUNTIFS(Students!E:E, A131))</f>
        <v/>
      </c>
      <c r="E131" s="6" t="str">
        <f>IF(LEN(TRIM(A131))=0,"",COUNTIFS(Students!E:E, A131, Students!D:D, "&lt;&gt;"))</f>
        <v/>
      </c>
      <c r="F131" s="6" t="str">
        <f t="shared" ref="F131:F194" si="4">IFERROR(D131-E131,"")</f>
        <v/>
      </c>
      <c r="G131" s="7" t="str">
        <f t="shared" ref="G131:G194" si="5">IFERROR(IF(D131=0, "N/A", E131/D131),"")</f>
        <v/>
      </c>
    </row>
    <row r="132" spans="4:7" x14ac:dyDescent="0.2">
      <c r="D132" s="6" t="str">
        <f>IF(LEN(TRIM(A132))=0,"",COUNTIFS(Students!E:E, A132))</f>
        <v/>
      </c>
      <c r="E132" s="6" t="str">
        <f>IF(LEN(TRIM(A132))=0,"",COUNTIFS(Students!E:E, A132, Students!D:D, "&lt;&gt;"))</f>
        <v/>
      </c>
      <c r="F132" s="6" t="str">
        <f t="shared" si="4"/>
        <v/>
      </c>
      <c r="G132" s="7" t="str">
        <f t="shared" si="5"/>
        <v/>
      </c>
    </row>
    <row r="133" spans="4:7" x14ac:dyDescent="0.2">
      <c r="D133" s="6" t="str">
        <f>IF(LEN(TRIM(A133))=0,"",COUNTIFS(Students!E:E, A133))</f>
        <v/>
      </c>
      <c r="E133" s="6" t="str">
        <f>IF(LEN(TRIM(A133))=0,"",COUNTIFS(Students!E:E, A133, Students!D:D, "&lt;&gt;"))</f>
        <v/>
      </c>
      <c r="F133" s="6" t="str">
        <f t="shared" si="4"/>
        <v/>
      </c>
      <c r="G133" s="7" t="str">
        <f t="shared" si="5"/>
        <v/>
      </c>
    </row>
    <row r="134" spans="4:7" x14ac:dyDescent="0.2">
      <c r="D134" s="6" t="str">
        <f>IF(LEN(TRIM(A134))=0,"",COUNTIFS(Students!E:E, A134))</f>
        <v/>
      </c>
      <c r="E134" s="6" t="str">
        <f>IF(LEN(TRIM(A134))=0,"",COUNTIFS(Students!E:E, A134, Students!D:D, "&lt;&gt;"))</f>
        <v/>
      </c>
      <c r="F134" s="6" t="str">
        <f t="shared" si="4"/>
        <v/>
      </c>
      <c r="G134" s="7" t="str">
        <f t="shared" si="5"/>
        <v/>
      </c>
    </row>
    <row r="135" spans="4:7" x14ac:dyDescent="0.2">
      <c r="D135" s="6" t="str">
        <f>IF(LEN(TRIM(A135))=0,"",COUNTIFS(Students!E:E, A135))</f>
        <v/>
      </c>
      <c r="E135" s="6" t="str">
        <f>IF(LEN(TRIM(A135))=0,"",COUNTIFS(Students!E:E, A135, Students!D:D, "&lt;&gt;"))</f>
        <v/>
      </c>
      <c r="F135" s="6" t="str">
        <f t="shared" si="4"/>
        <v/>
      </c>
      <c r="G135" s="7" t="str">
        <f t="shared" si="5"/>
        <v/>
      </c>
    </row>
    <row r="136" spans="4:7" x14ac:dyDescent="0.2">
      <c r="D136" s="6" t="str">
        <f>IF(LEN(TRIM(A136))=0,"",COUNTIFS(Students!E:E, A136))</f>
        <v/>
      </c>
      <c r="E136" s="6" t="str">
        <f>IF(LEN(TRIM(A136))=0,"",COUNTIFS(Students!E:E, A136, Students!D:D, "&lt;&gt;"))</f>
        <v/>
      </c>
      <c r="F136" s="6" t="str">
        <f t="shared" si="4"/>
        <v/>
      </c>
      <c r="G136" s="7" t="str">
        <f t="shared" si="5"/>
        <v/>
      </c>
    </row>
    <row r="137" spans="4:7" x14ac:dyDescent="0.2">
      <c r="D137" s="6" t="str">
        <f>IF(LEN(TRIM(A137))=0,"",COUNTIFS(Students!E:E, A137))</f>
        <v/>
      </c>
      <c r="E137" s="6" t="str">
        <f>IF(LEN(TRIM(A137))=0,"",COUNTIFS(Students!E:E, A137, Students!D:D, "&lt;&gt;"))</f>
        <v/>
      </c>
      <c r="F137" s="6" t="str">
        <f t="shared" si="4"/>
        <v/>
      </c>
      <c r="G137" s="7" t="str">
        <f t="shared" si="5"/>
        <v/>
      </c>
    </row>
    <row r="138" spans="4:7" x14ac:dyDescent="0.2">
      <c r="D138" s="6" t="str">
        <f>IF(LEN(TRIM(A138))=0,"",COUNTIFS(Students!E:E, A138))</f>
        <v/>
      </c>
      <c r="E138" s="6" t="str">
        <f>IF(LEN(TRIM(A138))=0,"",COUNTIFS(Students!E:E, A138, Students!D:D, "&lt;&gt;"))</f>
        <v/>
      </c>
      <c r="F138" s="6" t="str">
        <f t="shared" si="4"/>
        <v/>
      </c>
      <c r="G138" s="7" t="str">
        <f t="shared" si="5"/>
        <v/>
      </c>
    </row>
    <row r="139" spans="4:7" x14ac:dyDescent="0.2">
      <c r="D139" s="6" t="str">
        <f>IF(LEN(TRIM(A139))=0,"",COUNTIFS(Students!E:E, A139))</f>
        <v/>
      </c>
      <c r="E139" s="6" t="str">
        <f>IF(LEN(TRIM(A139))=0,"",COUNTIFS(Students!E:E, A139, Students!D:D, "&lt;&gt;"))</f>
        <v/>
      </c>
      <c r="F139" s="6" t="str">
        <f t="shared" si="4"/>
        <v/>
      </c>
      <c r="G139" s="7" t="str">
        <f t="shared" si="5"/>
        <v/>
      </c>
    </row>
    <row r="140" spans="4:7" x14ac:dyDescent="0.2">
      <c r="D140" s="6" t="str">
        <f>IF(LEN(TRIM(A140))=0,"",COUNTIFS(Students!E:E, A140))</f>
        <v/>
      </c>
      <c r="E140" s="6" t="str">
        <f>IF(LEN(TRIM(A140))=0,"",COUNTIFS(Students!E:E, A140, Students!D:D, "&lt;&gt;"))</f>
        <v/>
      </c>
      <c r="F140" s="6" t="str">
        <f t="shared" si="4"/>
        <v/>
      </c>
      <c r="G140" s="7" t="str">
        <f t="shared" si="5"/>
        <v/>
      </c>
    </row>
    <row r="141" spans="4:7" x14ac:dyDescent="0.2">
      <c r="D141" s="6" t="str">
        <f>IF(LEN(TRIM(A141))=0,"",COUNTIFS(Students!E:E, A141))</f>
        <v/>
      </c>
      <c r="E141" s="6" t="str">
        <f>IF(LEN(TRIM(A141))=0,"",COUNTIFS(Students!E:E, A141, Students!D:D, "&lt;&gt;"))</f>
        <v/>
      </c>
      <c r="F141" s="6" t="str">
        <f t="shared" si="4"/>
        <v/>
      </c>
      <c r="G141" s="7" t="str">
        <f t="shared" si="5"/>
        <v/>
      </c>
    </row>
    <row r="142" spans="4:7" x14ac:dyDescent="0.2">
      <c r="D142" s="6" t="str">
        <f>IF(LEN(TRIM(A142))=0,"",COUNTIFS(Students!E:E, A142))</f>
        <v/>
      </c>
      <c r="E142" s="6" t="str">
        <f>IF(LEN(TRIM(A142))=0,"",COUNTIFS(Students!E:E, A142, Students!D:D, "&lt;&gt;"))</f>
        <v/>
      </c>
      <c r="F142" s="6" t="str">
        <f t="shared" si="4"/>
        <v/>
      </c>
      <c r="G142" s="7" t="str">
        <f t="shared" si="5"/>
        <v/>
      </c>
    </row>
    <row r="143" spans="4:7" x14ac:dyDescent="0.2">
      <c r="D143" s="6" t="str">
        <f>IF(LEN(TRIM(A143))=0,"",COUNTIFS(Students!E:E, A143))</f>
        <v/>
      </c>
      <c r="E143" s="6" t="str">
        <f>IF(LEN(TRIM(A143))=0,"",COUNTIFS(Students!E:E, A143, Students!D:D, "&lt;&gt;"))</f>
        <v/>
      </c>
      <c r="F143" s="6" t="str">
        <f t="shared" si="4"/>
        <v/>
      </c>
      <c r="G143" s="7" t="str">
        <f t="shared" si="5"/>
        <v/>
      </c>
    </row>
    <row r="144" spans="4:7" x14ac:dyDescent="0.2">
      <c r="D144" s="6" t="str">
        <f>IF(LEN(TRIM(A144))=0,"",COUNTIFS(Students!E:E, A144))</f>
        <v/>
      </c>
      <c r="E144" s="6" t="str">
        <f>IF(LEN(TRIM(A144))=0,"",COUNTIFS(Students!E:E, A144, Students!D:D, "&lt;&gt;"))</f>
        <v/>
      </c>
      <c r="F144" s="6" t="str">
        <f t="shared" si="4"/>
        <v/>
      </c>
      <c r="G144" s="7" t="str">
        <f t="shared" si="5"/>
        <v/>
      </c>
    </row>
    <row r="145" spans="4:7" x14ac:dyDescent="0.2">
      <c r="D145" s="6" t="str">
        <f>IF(LEN(TRIM(A145))=0,"",COUNTIFS(Students!E:E, A145))</f>
        <v/>
      </c>
      <c r="E145" s="6" t="str">
        <f>IF(LEN(TRIM(A145))=0,"",COUNTIFS(Students!E:E, A145, Students!D:D, "&lt;&gt;"))</f>
        <v/>
      </c>
      <c r="F145" s="6" t="str">
        <f t="shared" si="4"/>
        <v/>
      </c>
      <c r="G145" s="7" t="str">
        <f t="shared" si="5"/>
        <v/>
      </c>
    </row>
    <row r="146" spans="4:7" x14ac:dyDescent="0.2">
      <c r="D146" s="6" t="str">
        <f>IF(LEN(TRIM(A146))=0,"",COUNTIFS(Students!E:E, A146))</f>
        <v/>
      </c>
      <c r="E146" s="6" t="str">
        <f>IF(LEN(TRIM(A146))=0,"",COUNTIFS(Students!E:E, A146, Students!D:D, "&lt;&gt;"))</f>
        <v/>
      </c>
      <c r="F146" s="6" t="str">
        <f t="shared" si="4"/>
        <v/>
      </c>
      <c r="G146" s="7" t="str">
        <f t="shared" si="5"/>
        <v/>
      </c>
    </row>
    <row r="147" spans="4:7" x14ac:dyDescent="0.2">
      <c r="D147" s="6" t="str">
        <f>IF(LEN(TRIM(A147))=0,"",COUNTIFS(Students!E:E, A147))</f>
        <v/>
      </c>
      <c r="E147" s="6" t="str">
        <f>IF(LEN(TRIM(A147))=0,"",COUNTIFS(Students!E:E, A147, Students!D:D, "&lt;&gt;"))</f>
        <v/>
      </c>
      <c r="F147" s="6" t="str">
        <f t="shared" si="4"/>
        <v/>
      </c>
      <c r="G147" s="7" t="str">
        <f t="shared" si="5"/>
        <v/>
      </c>
    </row>
    <row r="148" spans="4:7" x14ac:dyDescent="0.2">
      <c r="D148" s="6" t="str">
        <f>IF(LEN(TRIM(A148))=0,"",COUNTIFS(Students!E:E, A148))</f>
        <v/>
      </c>
      <c r="E148" s="6" t="str">
        <f>IF(LEN(TRIM(A148))=0,"",COUNTIFS(Students!E:E, A148, Students!D:D, "&lt;&gt;"))</f>
        <v/>
      </c>
      <c r="F148" s="6" t="str">
        <f t="shared" si="4"/>
        <v/>
      </c>
      <c r="G148" s="7" t="str">
        <f t="shared" si="5"/>
        <v/>
      </c>
    </row>
    <row r="149" spans="4:7" x14ac:dyDescent="0.2">
      <c r="D149" s="6" t="str">
        <f>IF(LEN(TRIM(A149))=0,"",COUNTIFS(Students!E:E, A149))</f>
        <v/>
      </c>
      <c r="E149" s="6" t="str">
        <f>IF(LEN(TRIM(A149))=0,"",COUNTIFS(Students!E:E, A149, Students!D:D, "&lt;&gt;"))</f>
        <v/>
      </c>
      <c r="F149" s="6" t="str">
        <f t="shared" si="4"/>
        <v/>
      </c>
      <c r="G149" s="7" t="str">
        <f t="shared" si="5"/>
        <v/>
      </c>
    </row>
    <row r="150" spans="4:7" x14ac:dyDescent="0.2">
      <c r="D150" s="6" t="str">
        <f>IF(LEN(TRIM(A150))=0,"",COUNTIFS(Students!E:E, A150))</f>
        <v/>
      </c>
      <c r="E150" s="6" t="str">
        <f>IF(LEN(TRIM(A150))=0,"",COUNTIFS(Students!E:E, A150, Students!D:D, "&lt;&gt;"))</f>
        <v/>
      </c>
      <c r="F150" s="6" t="str">
        <f t="shared" si="4"/>
        <v/>
      </c>
      <c r="G150" s="7" t="str">
        <f t="shared" si="5"/>
        <v/>
      </c>
    </row>
    <row r="151" spans="4:7" x14ac:dyDescent="0.2">
      <c r="D151" s="6" t="str">
        <f>IF(LEN(TRIM(A151))=0,"",COUNTIFS(Students!E:E, A151))</f>
        <v/>
      </c>
      <c r="E151" s="6" t="str">
        <f>IF(LEN(TRIM(A151))=0,"",COUNTIFS(Students!E:E, A151, Students!D:D, "&lt;&gt;"))</f>
        <v/>
      </c>
      <c r="F151" s="6" t="str">
        <f t="shared" si="4"/>
        <v/>
      </c>
      <c r="G151" s="7" t="str">
        <f t="shared" si="5"/>
        <v/>
      </c>
    </row>
    <row r="152" spans="4:7" x14ac:dyDescent="0.2">
      <c r="D152" s="6" t="str">
        <f>IF(LEN(TRIM(A152))=0,"",COUNTIFS(Students!E:E, A152))</f>
        <v/>
      </c>
      <c r="E152" s="6" t="str">
        <f>IF(LEN(TRIM(A152))=0,"",COUNTIFS(Students!E:E, A152, Students!D:D, "&lt;&gt;"))</f>
        <v/>
      </c>
      <c r="F152" s="6" t="str">
        <f t="shared" si="4"/>
        <v/>
      </c>
      <c r="G152" s="7" t="str">
        <f t="shared" si="5"/>
        <v/>
      </c>
    </row>
    <row r="153" spans="4:7" x14ac:dyDescent="0.2">
      <c r="D153" s="6" t="str">
        <f>IF(LEN(TRIM(A153))=0,"",COUNTIFS(Students!E:E, A153))</f>
        <v/>
      </c>
      <c r="E153" s="6" t="str">
        <f>IF(LEN(TRIM(A153))=0,"",COUNTIFS(Students!E:E, A153, Students!D:D, "&lt;&gt;"))</f>
        <v/>
      </c>
      <c r="F153" s="6" t="str">
        <f t="shared" si="4"/>
        <v/>
      </c>
      <c r="G153" s="7" t="str">
        <f t="shared" si="5"/>
        <v/>
      </c>
    </row>
    <row r="154" spans="4:7" x14ac:dyDescent="0.2">
      <c r="D154" s="6" t="str">
        <f>IF(LEN(TRIM(A154))=0,"",COUNTIFS(Students!E:E, A154))</f>
        <v/>
      </c>
      <c r="E154" s="6" t="str">
        <f>IF(LEN(TRIM(A154))=0,"",COUNTIFS(Students!E:E, A154, Students!D:D, "&lt;&gt;"))</f>
        <v/>
      </c>
      <c r="F154" s="6" t="str">
        <f t="shared" si="4"/>
        <v/>
      </c>
      <c r="G154" s="7" t="str">
        <f t="shared" si="5"/>
        <v/>
      </c>
    </row>
    <row r="155" spans="4:7" x14ac:dyDescent="0.2">
      <c r="D155" s="6" t="str">
        <f>IF(LEN(TRIM(A155))=0,"",COUNTIFS(Students!E:E, A155))</f>
        <v/>
      </c>
      <c r="E155" s="6" t="str">
        <f>IF(LEN(TRIM(A155))=0,"",COUNTIFS(Students!E:E, A155, Students!D:D, "&lt;&gt;"))</f>
        <v/>
      </c>
      <c r="F155" s="6" t="str">
        <f t="shared" si="4"/>
        <v/>
      </c>
      <c r="G155" s="7" t="str">
        <f t="shared" si="5"/>
        <v/>
      </c>
    </row>
    <row r="156" spans="4:7" x14ac:dyDescent="0.2">
      <c r="D156" s="6" t="str">
        <f>IF(LEN(TRIM(A156))=0,"",COUNTIFS(Students!E:E, A156))</f>
        <v/>
      </c>
      <c r="E156" s="6" t="str">
        <f>IF(LEN(TRIM(A156))=0,"",COUNTIFS(Students!E:E, A156, Students!D:D, "&lt;&gt;"))</f>
        <v/>
      </c>
      <c r="F156" s="6" t="str">
        <f t="shared" si="4"/>
        <v/>
      </c>
      <c r="G156" s="7" t="str">
        <f t="shared" si="5"/>
        <v/>
      </c>
    </row>
    <row r="157" spans="4:7" x14ac:dyDescent="0.2">
      <c r="D157" s="6" t="str">
        <f>IF(LEN(TRIM(A157))=0,"",COUNTIFS(Students!E:E, A157))</f>
        <v/>
      </c>
      <c r="E157" s="6" t="str">
        <f>IF(LEN(TRIM(A157))=0,"",COUNTIFS(Students!E:E, A157, Students!D:D, "&lt;&gt;"))</f>
        <v/>
      </c>
      <c r="F157" s="6" t="str">
        <f t="shared" si="4"/>
        <v/>
      </c>
      <c r="G157" s="7" t="str">
        <f t="shared" si="5"/>
        <v/>
      </c>
    </row>
    <row r="158" spans="4:7" x14ac:dyDescent="0.2">
      <c r="D158" s="6" t="str">
        <f>IF(LEN(TRIM(A158))=0,"",COUNTIFS(Students!E:E, A158))</f>
        <v/>
      </c>
      <c r="E158" s="6" t="str">
        <f>IF(LEN(TRIM(A158))=0,"",COUNTIFS(Students!E:E, A158, Students!D:D, "&lt;&gt;"))</f>
        <v/>
      </c>
      <c r="F158" s="6" t="str">
        <f t="shared" si="4"/>
        <v/>
      </c>
      <c r="G158" s="7" t="str">
        <f t="shared" si="5"/>
        <v/>
      </c>
    </row>
    <row r="159" spans="4:7" x14ac:dyDescent="0.2">
      <c r="D159" s="6" t="str">
        <f>IF(LEN(TRIM(A159))=0,"",COUNTIFS(Students!E:E, A159))</f>
        <v/>
      </c>
      <c r="E159" s="6" t="str">
        <f>IF(LEN(TRIM(A159))=0,"",COUNTIFS(Students!E:E, A159, Students!D:D, "&lt;&gt;"))</f>
        <v/>
      </c>
      <c r="F159" s="6" t="str">
        <f t="shared" si="4"/>
        <v/>
      </c>
      <c r="G159" s="7" t="str">
        <f t="shared" si="5"/>
        <v/>
      </c>
    </row>
    <row r="160" spans="4:7" x14ac:dyDescent="0.2">
      <c r="D160" s="6" t="str">
        <f>IF(LEN(TRIM(A160))=0,"",COUNTIFS(Students!E:E, A160))</f>
        <v/>
      </c>
      <c r="E160" s="6" t="str">
        <f>IF(LEN(TRIM(A160))=0,"",COUNTIFS(Students!E:E, A160, Students!D:D, "&lt;&gt;"))</f>
        <v/>
      </c>
      <c r="F160" s="6" t="str">
        <f t="shared" si="4"/>
        <v/>
      </c>
      <c r="G160" s="7" t="str">
        <f t="shared" si="5"/>
        <v/>
      </c>
    </row>
    <row r="161" spans="4:7" x14ac:dyDescent="0.2">
      <c r="D161" s="6" t="str">
        <f>IF(LEN(TRIM(A161))=0,"",COUNTIFS(Students!E:E, A161))</f>
        <v/>
      </c>
      <c r="E161" s="6" t="str">
        <f>IF(LEN(TRIM(A161))=0,"",COUNTIFS(Students!E:E, A161, Students!D:D, "&lt;&gt;"))</f>
        <v/>
      </c>
      <c r="F161" s="6" t="str">
        <f t="shared" si="4"/>
        <v/>
      </c>
      <c r="G161" s="7" t="str">
        <f t="shared" si="5"/>
        <v/>
      </c>
    </row>
    <row r="162" spans="4:7" x14ac:dyDescent="0.2">
      <c r="D162" s="6" t="str">
        <f>IF(LEN(TRIM(A162))=0,"",COUNTIFS(Students!E:E, A162))</f>
        <v/>
      </c>
      <c r="E162" s="6" t="str">
        <f>IF(LEN(TRIM(A162))=0,"",COUNTIFS(Students!E:E, A162, Students!D:D, "&lt;&gt;"))</f>
        <v/>
      </c>
      <c r="F162" s="6" t="str">
        <f t="shared" si="4"/>
        <v/>
      </c>
      <c r="G162" s="7" t="str">
        <f t="shared" si="5"/>
        <v/>
      </c>
    </row>
    <row r="163" spans="4:7" x14ac:dyDescent="0.2">
      <c r="D163" s="6" t="str">
        <f>IF(LEN(TRIM(A163))=0,"",COUNTIFS(Students!E:E, A163))</f>
        <v/>
      </c>
      <c r="E163" s="6" t="str">
        <f>IF(LEN(TRIM(A163))=0,"",COUNTIFS(Students!E:E, A163, Students!D:D, "&lt;&gt;"))</f>
        <v/>
      </c>
      <c r="F163" s="6" t="str">
        <f t="shared" si="4"/>
        <v/>
      </c>
      <c r="G163" s="7" t="str">
        <f t="shared" si="5"/>
        <v/>
      </c>
    </row>
    <row r="164" spans="4:7" x14ac:dyDescent="0.2">
      <c r="D164" s="6" t="str">
        <f>IF(LEN(TRIM(A164))=0,"",COUNTIFS(Students!E:E, A164))</f>
        <v/>
      </c>
      <c r="E164" s="6" t="str">
        <f>IF(LEN(TRIM(A164))=0,"",COUNTIFS(Students!E:E, A164, Students!D:D, "&lt;&gt;"))</f>
        <v/>
      </c>
      <c r="F164" s="6" t="str">
        <f t="shared" si="4"/>
        <v/>
      </c>
      <c r="G164" s="7" t="str">
        <f t="shared" si="5"/>
        <v/>
      </c>
    </row>
    <row r="165" spans="4:7" x14ac:dyDescent="0.2">
      <c r="D165" s="6" t="str">
        <f>IF(LEN(TRIM(A165))=0,"",COUNTIFS(Students!E:E, A165))</f>
        <v/>
      </c>
      <c r="E165" s="6" t="str">
        <f>IF(LEN(TRIM(A165))=0,"",COUNTIFS(Students!E:E, A165, Students!D:D, "&lt;&gt;"))</f>
        <v/>
      </c>
      <c r="F165" s="6" t="str">
        <f t="shared" si="4"/>
        <v/>
      </c>
      <c r="G165" s="7" t="str">
        <f t="shared" si="5"/>
        <v/>
      </c>
    </row>
    <row r="166" spans="4:7" x14ac:dyDescent="0.2">
      <c r="D166" s="6" t="str">
        <f>IF(LEN(TRIM(A166))=0,"",COUNTIFS(Students!E:E, A166))</f>
        <v/>
      </c>
      <c r="E166" s="6" t="str">
        <f>IF(LEN(TRIM(A166))=0,"",COUNTIFS(Students!E:E, A166, Students!D:D, "&lt;&gt;"))</f>
        <v/>
      </c>
      <c r="F166" s="6" t="str">
        <f t="shared" si="4"/>
        <v/>
      </c>
      <c r="G166" s="7" t="str">
        <f t="shared" si="5"/>
        <v/>
      </c>
    </row>
    <row r="167" spans="4:7" x14ac:dyDescent="0.2">
      <c r="D167" s="6" t="str">
        <f>IF(LEN(TRIM(A167))=0,"",COUNTIFS(Students!E:E, A167))</f>
        <v/>
      </c>
      <c r="E167" s="6" t="str">
        <f>IF(LEN(TRIM(A167))=0,"",COUNTIFS(Students!E:E, A167, Students!D:D, "&lt;&gt;"))</f>
        <v/>
      </c>
      <c r="F167" s="6" t="str">
        <f t="shared" si="4"/>
        <v/>
      </c>
      <c r="G167" s="7" t="str">
        <f t="shared" si="5"/>
        <v/>
      </c>
    </row>
    <row r="168" spans="4:7" x14ac:dyDescent="0.2">
      <c r="D168" s="6" t="str">
        <f>IF(LEN(TRIM(A168))=0,"",COUNTIFS(Students!E:E, A168))</f>
        <v/>
      </c>
      <c r="E168" s="6" t="str">
        <f>IF(LEN(TRIM(A168))=0,"",COUNTIFS(Students!E:E, A168, Students!D:D, "&lt;&gt;"))</f>
        <v/>
      </c>
      <c r="F168" s="6" t="str">
        <f t="shared" si="4"/>
        <v/>
      </c>
      <c r="G168" s="7" t="str">
        <f t="shared" si="5"/>
        <v/>
      </c>
    </row>
    <row r="169" spans="4:7" x14ac:dyDescent="0.2">
      <c r="D169" s="6" t="str">
        <f>IF(LEN(TRIM(A169))=0,"",COUNTIFS(Students!E:E, A169))</f>
        <v/>
      </c>
      <c r="E169" s="6" t="str">
        <f>IF(LEN(TRIM(A169))=0,"",COUNTIFS(Students!E:E, A169, Students!D:D, "&lt;&gt;"))</f>
        <v/>
      </c>
      <c r="F169" s="6" t="str">
        <f t="shared" si="4"/>
        <v/>
      </c>
      <c r="G169" s="7" t="str">
        <f t="shared" si="5"/>
        <v/>
      </c>
    </row>
    <row r="170" spans="4:7" x14ac:dyDescent="0.2">
      <c r="D170" s="6" t="str">
        <f>IF(LEN(TRIM(A170))=0,"",COUNTIFS(Students!E:E, A170))</f>
        <v/>
      </c>
      <c r="E170" s="6" t="str">
        <f>IF(LEN(TRIM(A170))=0,"",COUNTIFS(Students!E:E, A170, Students!D:D, "&lt;&gt;"))</f>
        <v/>
      </c>
      <c r="F170" s="6" t="str">
        <f t="shared" si="4"/>
        <v/>
      </c>
      <c r="G170" s="7" t="str">
        <f t="shared" si="5"/>
        <v/>
      </c>
    </row>
    <row r="171" spans="4:7" x14ac:dyDescent="0.2">
      <c r="D171" s="6" t="str">
        <f>IF(LEN(TRIM(A171))=0,"",COUNTIFS(Students!E:E, A171))</f>
        <v/>
      </c>
      <c r="E171" s="6" t="str">
        <f>IF(LEN(TRIM(A171))=0,"",COUNTIFS(Students!E:E, A171, Students!D:D, "&lt;&gt;"))</f>
        <v/>
      </c>
      <c r="F171" s="6" t="str">
        <f t="shared" si="4"/>
        <v/>
      </c>
      <c r="G171" s="7" t="str">
        <f t="shared" si="5"/>
        <v/>
      </c>
    </row>
    <row r="172" spans="4:7" x14ac:dyDescent="0.2">
      <c r="D172" s="6" t="str">
        <f>IF(LEN(TRIM(A172))=0,"",COUNTIFS(Students!E:E, A172))</f>
        <v/>
      </c>
      <c r="E172" s="6" t="str">
        <f>IF(LEN(TRIM(A172))=0,"",COUNTIFS(Students!E:E, A172, Students!D:D, "&lt;&gt;"))</f>
        <v/>
      </c>
      <c r="F172" s="6" t="str">
        <f t="shared" si="4"/>
        <v/>
      </c>
      <c r="G172" s="7" t="str">
        <f t="shared" si="5"/>
        <v/>
      </c>
    </row>
    <row r="173" spans="4:7" x14ac:dyDescent="0.2">
      <c r="D173" s="6" t="str">
        <f>IF(LEN(TRIM(A173))=0,"",COUNTIFS(Students!E:E, A173))</f>
        <v/>
      </c>
      <c r="E173" s="6" t="str">
        <f>IF(LEN(TRIM(A173))=0,"",COUNTIFS(Students!E:E, A173, Students!D:D, "&lt;&gt;"))</f>
        <v/>
      </c>
      <c r="F173" s="6" t="str">
        <f t="shared" si="4"/>
        <v/>
      </c>
      <c r="G173" s="7" t="str">
        <f t="shared" si="5"/>
        <v/>
      </c>
    </row>
    <row r="174" spans="4:7" x14ac:dyDescent="0.2">
      <c r="D174" s="6" t="str">
        <f>IF(LEN(TRIM(A174))=0,"",COUNTIFS(Students!E:E, A174))</f>
        <v/>
      </c>
      <c r="E174" s="6" t="str">
        <f>IF(LEN(TRIM(A174))=0,"",COUNTIFS(Students!E:E, A174, Students!D:D, "&lt;&gt;"))</f>
        <v/>
      </c>
      <c r="F174" s="6" t="str">
        <f t="shared" si="4"/>
        <v/>
      </c>
      <c r="G174" s="7" t="str">
        <f t="shared" si="5"/>
        <v/>
      </c>
    </row>
    <row r="175" spans="4:7" x14ac:dyDescent="0.2">
      <c r="D175" s="6" t="str">
        <f>IF(LEN(TRIM(A175))=0,"",COUNTIFS(Students!E:E, A175))</f>
        <v/>
      </c>
      <c r="E175" s="6" t="str">
        <f>IF(LEN(TRIM(A175))=0,"",COUNTIFS(Students!E:E, A175, Students!D:D, "&lt;&gt;"))</f>
        <v/>
      </c>
      <c r="F175" s="6" t="str">
        <f t="shared" si="4"/>
        <v/>
      </c>
      <c r="G175" s="7" t="str">
        <f t="shared" si="5"/>
        <v/>
      </c>
    </row>
    <row r="176" spans="4:7" x14ac:dyDescent="0.2">
      <c r="D176" s="6" t="str">
        <f>IF(LEN(TRIM(A176))=0,"",COUNTIFS(Students!E:E, A176))</f>
        <v/>
      </c>
      <c r="E176" s="6" t="str">
        <f>IF(LEN(TRIM(A176))=0,"",COUNTIFS(Students!E:E, A176, Students!D:D, "&lt;&gt;"))</f>
        <v/>
      </c>
      <c r="F176" s="6" t="str">
        <f t="shared" si="4"/>
        <v/>
      </c>
      <c r="G176" s="7" t="str">
        <f t="shared" si="5"/>
        <v/>
      </c>
    </row>
    <row r="177" spans="4:7" x14ac:dyDescent="0.2">
      <c r="D177" s="6" t="str">
        <f>IF(LEN(TRIM(A177))=0,"",COUNTIFS(Students!E:E, A177))</f>
        <v/>
      </c>
      <c r="E177" s="6" t="str">
        <f>IF(LEN(TRIM(A177))=0,"",COUNTIFS(Students!E:E, A177, Students!D:D, "&lt;&gt;"))</f>
        <v/>
      </c>
      <c r="F177" s="6" t="str">
        <f t="shared" si="4"/>
        <v/>
      </c>
      <c r="G177" s="7" t="str">
        <f t="shared" si="5"/>
        <v/>
      </c>
    </row>
    <row r="178" spans="4:7" x14ac:dyDescent="0.2">
      <c r="D178" s="6" t="str">
        <f>IF(LEN(TRIM(A178))=0,"",COUNTIFS(Students!E:E, A178))</f>
        <v/>
      </c>
      <c r="E178" s="6" t="str">
        <f>IF(LEN(TRIM(A178))=0,"",COUNTIFS(Students!E:E, A178, Students!D:D, "&lt;&gt;"))</f>
        <v/>
      </c>
      <c r="F178" s="6" t="str">
        <f t="shared" si="4"/>
        <v/>
      </c>
      <c r="G178" s="7" t="str">
        <f t="shared" si="5"/>
        <v/>
      </c>
    </row>
    <row r="179" spans="4:7" x14ac:dyDescent="0.2">
      <c r="D179" s="6" t="str">
        <f>IF(LEN(TRIM(A179))=0,"",COUNTIFS(Students!E:E, A179))</f>
        <v/>
      </c>
      <c r="E179" s="6" t="str">
        <f>IF(LEN(TRIM(A179))=0,"",COUNTIFS(Students!E:E, A179, Students!D:D, "&lt;&gt;"))</f>
        <v/>
      </c>
      <c r="F179" s="6" t="str">
        <f t="shared" si="4"/>
        <v/>
      </c>
      <c r="G179" s="7" t="str">
        <f t="shared" si="5"/>
        <v/>
      </c>
    </row>
    <row r="180" spans="4:7" x14ac:dyDescent="0.2">
      <c r="D180" s="6" t="str">
        <f>IF(LEN(TRIM(A180))=0,"",COUNTIFS(Students!E:E, A180))</f>
        <v/>
      </c>
      <c r="E180" s="6" t="str">
        <f>IF(LEN(TRIM(A180))=0,"",COUNTIFS(Students!E:E, A180, Students!D:D, "&lt;&gt;"))</f>
        <v/>
      </c>
      <c r="F180" s="6" t="str">
        <f t="shared" si="4"/>
        <v/>
      </c>
      <c r="G180" s="7" t="str">
        <f t="shared" si="5"/>
        <v/>
      </c>
    </row>
    <row r="181" spans="4:7" x14ac:dyDescent="0.2">
      <c r="D181" s="6" t="str">
        <f>IF(LEN(TRIM(A181))=0,"",COUNTIFS(Students!E:E, A181))</f>
        <v/>
      </c>
      <c r="E181" s="6" t="str">
        <f>IF(LEN(TRIM(A181))=0,"",COUNTIFS(Students!E:E, A181, Students!D:D, "&lt;&gt;"))</f>
        <v/>
      </c>
      <c r="F181" s="6" t="str">
        <f t="shared" si="4"/>
        <v/>
      </c>
      <c r="G181" s="7" t="str">
        <f t="shared" si="5"/>
        <v/>
      </c>
    </row>
    <row r="182" spans="4:7" x14ac:dyDescent="0.2">
      <c r="D182" s="6" t="str">
        <f>IF(LEN(TRIM(A182))=0,"",COUNTIFS(Students!E:E, A182))</f>
        <v/>
      </c>
      <c r="E182" s="6" t="str">
        <f>IF(LEN(TRIM(A182))=0,"",COUNTIFS(Students!E:E, A182, Students!D:D, "&lt;&gt;"))</f>
        <v/>
      </c>
      <c r="F182" s="6" t="str">
        <f t="shared" si="4"/>
        <v/>
      </c>
      <c r="G182" s="7" t="str">
        <f t="shared" si="5"/>
        <v/>
      </c>
    </row>
    <row r="183" spans="4:7" x14ac:dyDescent="0.2">
      <c r="D183" s="6" t="str">
        <f>IF(LEN(TRIM(A183))=0,"",COUNTIFS(Students!E:E, A183))</f>
        <v/>
      </c>
      <c r="E183" s="6" t="str">
        <f>IF(LEN(TRIM(A183))=0,"",COUNTIFS(Students!E:E, A183, Students!D:D, "&lt;&gt;"))</f>
        <v/>
      </c>
      <c r="F183" s="6" t="str">
        <f t="shared" si="4"/>
        <v/>
      </c>
      <c r="G183" s="7" t="str">
        <f t="shared" si="5"/>
        <v/>
      </c>
    </row>
    <row r="184" spans="4:7" x14ac:dyDescent="0.2">
      <c r="D184" s="6" t="str">
        <f>IF(LEN(TRIM(A184))=0,"",COUNTIFS(Students!E:E, A184))</f>
        <v/>
      </c>
      <c r="E184" s="6" t="str">
        <f>IF(LEN(TRIM(A184))=0,"",COUNTIFS(Students!E:E, A184, Students!D:D, "&lt;&gt;"))</f>
        <v/>
      </c>
      <c r="F184" s="6" t="str">
        <f t="shared" si="4"/>
        <v/>
      </c>
      <c r="G184" s="7" t="str">
        <f t="shared" si="5"/>
        <v/>
      </c>
    </row>
    <row r="185" spans="4:7" x14ac:dyDescent="0.2">
      <c r="D185" s="6" t="str">
        <f>IF(LEN(TRIM(A185))=0,"",COUNTIFS(Students!E:E, A185))</f>
        <v/>
      </c>
      <c r="E185" s="6" t="str">
        <f>IF(LEN(TRIM(A185))=0,"",COUNTIFS(Students!E:E, A185, Students!D:D, "&lt;&gt;"))</f>
        <v/>
      </c>
      <c r="F185" s="6" t="str">
        <f t="shared" si="4"/>
        <v/>
      </c>
      <c r="G185" s="7" t="str">
        <f t="shared" si="5"/>
        <v/>
      </c>
    </row>
    <row r="186" spans="4:7" x14ac:dyDescent="0.2">
      <c r="D186" s="6" t="str">
        <f>IF(LEN(TRIM(A186))=0,"",COUNTIFS(Students!E:E, A186))</f>
        <v/>
      </c>
      <c r="E186" s="6" t="str">
        <f>IF(LEN(TRIM(A186))=0,"",COUNTIFS(Students!E:E, A186, Students!D:D, "&lt;&gt;"))</f>
        <v/>
      </c>
      <c r="F186" s="6" t="str">
        <f t="shared" si="4"/>
        <v/>
      </c>
      <c r="G186" s="7" t="str">
        <f t="shared" si="5"/>
        <v/>
      </c>
    </row>
    <row r="187" spans="4:7" x14ac:dyDescent="0.2">
      <c r="D187" s="6" t="str">
        <f>IF(LEN(TRIM(A187))=0,"",COUNTIFS(Students!E:E, A187))</f>
        <v/>
      </c>
      <c r="E187" s="6" t="str">
        <f>IF(LEN(TRIM(A187))=0,"",COUNTIFS(Students!E:E, A187, Students!D:D, "&lt;&gt;"))</f>
        <v/>
      </c>
      <c r="F187" s="6" t="str">
        <f t="shared" si="4"/>
        <v/>
      </c>
      <c r="G187" s="7" t="str">
        <f t="shared" si="5"/>
        <v/>
      </c>
    </row>
    <row r="188" spans="4:7" x14ac:dyDescent="0.2">
      <c r="D188" s="6" t="str">
        <f>IF(LEN(TRIM(A188))=0,"",COUNTIFS(Students!E:E, A188))</f>
        <v/>
      </c>
      <c r="E188" s="6" t="str">
        <f>IF(LEN(TRIM(A188))=0,"",COUNTIFS(Students!E:E, A188, Students!D:D, "&lt;&gt;"))</f>
        <v/>
      </c>
      <c r="F188" s="6" t="str">
        <f t="shared" si="4"/>
        <v/>
      </c>
      <c r="G188" s="7" t="str">
        <f t="shared" si="5"/>
        <v/>
      </c>
    </row>
    <row r="189" spans="4:7" x14ac:dyDescent="0.2">
      <c r="D189" s="6" t="str">
        <f>IF(LEN(TRIM(A189))=0,"",COUNTIFS(Students!E:E, A189))</f>
        <v/>
      </c>
      <c r="E189" s="6" t="str">
        <f>IF(LEN(TRIM(A189))=0,"",COUNTIFS(Students!E:E, A189, Students!D:D, "&lt;&gt;"))</f>
        <v/>
      </c>
      <c r="F189" s="6" t="str">
        <f t="shared" si="4"/>
        <v/>
      </c>
      <c r="G189" s="7" t="str">
        <f t="shared" si="5"/>
        <v/>
      </c>
    </row>
    <row r="190" spans="4:7" x14ac:dyDescent="0.2">
      <c r="D190" s="6" t="str">
        <f>IF(LEN(TRIM(A190))=0,"",COUNTIFS(Students!E:E, A190))</f>
        <v/>
      </c>
      <c r="E190" s="6" t="str">
        <f>IF(LEN(TRIM(A190))=0,"",COUNTIFS(Students!E:E, A190, Students!D:D, "&lt;&gt;"))</f>
        <v/>
      </c>
      <c r="F190" s="6" t="str">
        <f t="shared" si="4"/>
        <v/>
      </c>
      <c r="G190" s="7" t="str">
        <f t="shared" si="5"/>
        <v/>
      </c>
    </row>
    <row r="191" spans="4:7" x14ac:dyDescent="0.2">
      <c r="D191" s="6" t="str">
        <f>IF(LEN(TRIM(A191))=0,"",COUNTIFS(Students!E:E, A191))</f>
        <v/>
      </c>
      <c r="E191" s="6" t="str">
        <f>IF(LEN(TRIM(A191))=0,"",COUNTIFS(Students!E:E, A191, Students!D:D, "&lt;&gt;"))</f>
        <v/>
      </c>
      <c r="F191" s="6" t="str">
        <f t="shared" si="4"/>
        <v/>
      </c>
      <c r="G191" s="7" t="str">
        <f t="shared" si="5"/>
        <v/>
      </c>
    </row>
    <row r="192" spans="4:7" x14ac:dyDescent="0.2">
      <c r="D192" s="6" t="str">
        <f>IF(LEN(TRIM(A192))=0,"",COUNTIFS(Students!E:E, A192))</f>
        <v/>
      </c>
      <c r="E192" s="6" t="str">
        <f>IF(LEN(TRIM(A192))=0,"",COUNTIFS(Students!E:E, A192, Students!D:D, "&lt;&gt;"))</f>
        <v/>
      </c>
      <c r="F192" s="6" t="str">
        <f t="shared" si="4"/>
        <v/>
      </c>
      <c r="G192" s="7" t="str">
        <f t="shared" si="5"/>
        <v/>
      </c>
    </row>
    <row r="193" spans="4:7" x14ac:dyDescent="0.2">
      <c r="D193" s="6" t="str">
        <f>IF(LEN(TRIM(A193))=0,"",COUNTIFS(Students!E:E, A193))</f>
        <v/>
      </c>
      <c r="E193" s="6" t="str">
        <f>IF(LEN(TRIM(A193))=0,"",COUNTIFS(Students!E:E, A193, Students!D:D, "&lt;&gt;"))</f>
        <v/>
      </c>
      <c r="F193" s="6" t="str">
        <f t="shared" si="4"/>
        <v/>
      </c>
      <c r="G193" s="7" t="str">
        <f t="shared" si="5"/>
        <v/>
      </c>
    </row>
    <row r="194" spans="4:7" x14ac:dyDescent="0.2">
      <c r="D194" s="6" t="str">
        <f>IF(LEN(TRIM(A194))=0,"",COUNTIFS(Students!E:E, A194))</f>
        <v/>
      </c>
      <c r="E194" s="6" t="str">
        <f>IF(LEN(TRIM(A194))=0,"",COUNTIFS(Students!E:E, A194, Students!D:D, "&lt;&gt;"))</f>
        <v/>
      </c>
      <c r="F194" s="6" t="str">
        <f t="shared" si="4"/>
        <v/>
      </c>
      <c r="G194" s="7" t="str">
        <f t="shared" si="5"/>
        <v/>
      </c>
    </row>
    <row r="195" spans="4:7" x14ac:dyDescent="0.2">
      <c r="D195" s="6" t="str">
        <f>IF(LEN(TRIM(A195))=0,"",COUNTIFS(Students!E:E, A195))</f>
        <v/>
      </c>
      <c r="E195" s="6" t="str">
        <f>IF(LEN(TRIM(A195))=0,"",COUNTIFS(Students!E:E, A195, Students!D:D, "&lt;&gt;"))</f>
        <v/>
      </c>
      <c r="F195" s="6" t="str">
        <f t="shared" ref="F195:F213" si="6">IFERROR(D195-E195,"")</f>
        <v/>
      </c>
      <c r="G195" s="7" t="str">
        <f t="shared" ref="G195:G213" si="7">IFERROR(IF(D195=0, "N/A", E195/D195),"")</f>
        <v/>
      </c>
    </row>
    <row r="196" spans="4:7" x14ac:dyDescent="0.2">
      <c r="D196" s="6" t="str">
        <f>IF(LEN(TRIM(A196))=0,"",COUNTIFS(Students!E:E, A196))</f>
        <v/>
      </c>
      <c r="E196" s="6" t="str">
        <f>IF(LEN(TRIM(A196))=0,"",COUNTIFS(Students!E:E, A196, Students!D:D, "&lt;&gt;"))</f>
        <v/>
      </c>
      <c r="F196" s="6" t="str">
        <f t="shared" si="6"/>
        <v/>
      </c>
      <c r="G196" s="7" t="str">
        <f t="shared" si="7"/>
        <v/>
      </c>
    </row>
    <row r="197" spans="4:7" x14ac:dyDescent="0.2">
      <c r="D197" s="6" t="str">
        <f>IF(LEN(TRIM(A197))=0,"",COUNTIFS(Students!E:E, A197))</f>
        <v/>
      </c>
      <c r="E197" s="6" t="str">
        <f>IF(LEN(TRIM(A197))=0,"",COUNTIFS(Students!E:E, A197, Students!D:D, "&lt;&gt;"))</f>
        <v/>
      </c>
      <c r="F197" s="6" t="str">
        <f t="shared" si="6"/>
        <v/>
      </c>
      <c r="G197" s="7" t="str">
        <f t="shared" si="7"/>
        <v/>
      </c>
    </row>
    <row r="198" spans="4:7" x14ac:dyDescent="0.2">
      <c r="D198" s="6" t="str">
        <f>IF(LEN(TRIM(A198))=0,"",COUNTIFS(Students!E:E, A198))</f>
        <v/>
      </c>
      <c r="E198" s="6" t="str">
        <f>IF(LEN(TRIM(A198))=0,"",COUNTIFS(Students!E:E, A198, Students!D:D, "&lt;&gt;"))</f>
        <v/>
      </c>
      <c r="F198" s="6" t="str">
        <f t="shared" si="6"/>
        <v/>
      </c>
      <c r="G198" s="7" t="str">
        <f t="shared" si="7"/>
        <v/>
      </c>
    </row>
    <row r="199" spans="4:7" x14ac:dyDescent="0.2">
      <c r="D199" s="6" t="str">
        <f>IF(LEN(TRIM(A199))=0,"",COUNTIFS(Students!E:E, A199))</f>
        <v/>
      </c>
      <c r="E199" s="6" t="str">
        <f>IF(LEN(TRIM(A199))=0,"",COUNTIFS(Students!E:E, A199, Students!D:D, "&lt;&gt;"))</f>
        <v/>
      </c>
      <c r="F199" s="6" t="str">
        <f t="shared" si="6"/>
        <v/>
      </c>
      <c r="G199" s="7" t="str">
        <f t="shared" si="7"/>
        <v/>
      </c>
    </row>
    <row r="200" spans="4:7" x14ac:dyDescent="0.2">
      <c r="D200" s="6" t="str">
        <f>IF(LEN(TRIM(A200))=0,"",COUNTIFS(Students!E:E, A200))</f>
        <v/>
      </c>
      <c r="E200" s="6" t="str">
        <f>IF(LEN(TRIM(A200))=0,"",COUNTIFS(Students!E:E, A200, Students!D:D, "&lt;&gt;"))</f>
        <v/>
      </c>
      <c r="F200" s="6" t="str">
        <f t="shared" si="6"/>
        <v/>
      </c>
      <c r="G200" s="7" t="str">
        <f t="shared" si="7"/>
        <v/>
      </c>
    </row>
    <row r="201" spans="4:7" x14ac:dyDescent="0.2">
      <c r="D201" s="6" t="str">
        <f>IF(LEN(TRIM(A201))=0,"",COUNTIFS(Students!E:E, A201))</f>
        <v/>
      </c>
      <c r="E201" s="6" t="str">
        <f>IF(LEN(TRIM(A201))=0,"",COUNTIFS(Students!E:E, A201, Students!D:D, "&lt;&gt;"))</f>
        <v/>
      </c>
      <c r="F201" s="6" t="str">
        <f t="shared" si="6"/>
        <v/>
      </c>
      <c r="G201" s="7" t="str">
        <f t="shared" si="7"/>
        <v/>
      </c>
    </row>
    <row r="202" spans="4:7" x14ac:dyDescent="0.2">
      <c r="D202" s="6" t="str">
        <f>IF(LEN(TRIM(A202))=0,"",COUNTIFS(Students!E:E, A202))</f>
        <v/>
      </c>
      <c r="E202" s="6" t="str">
        <f>IF(LEN(TRIM(A202))=0,"",COUNTIFS(Students!E:E, A202, Students!D:D, "&lt;&gt;"))</f>
        <v/>
      </c>
      <c r="F202" s="6" t="str">
        <f t="shared" si="6"/>
        <v/>
      </c>
      <c r="G202" s="7" t="str">
        <f t="shared" si="7"/>
        <v/>
      </c>
    </row>
    <row r="203" spans="4:7" x14ac:dyDescent="0.2">
      <c r="D203" s="6" t="str">
        <f>IF(LEN(TRIM(A203))=0,"",COUNTIFS(Students!E:E, A203))</f>
        <v/>
      </c>
      <c r="E203" s="6" t="str">
        <f>IF(LEN(TRIM(A203))=0,"",COUNTIFS(Students!E:E, A203, Students!D:D, "&lt;&gt;"))</f>
        <v/>
      </c>
      <c r="F203" s="6" t="str">
        <f t="shared" si="6"/>
        <v/>
      </c>
      <c r="G203" s="7" t="str">
        <f t="shared" si="7"/>
        <v/>
      </c>
    </row>
    <row r="204" spans="4:7" x14ac:dyDescent="0.2">
      <c r="D204" s="6" t="str">
        <f>IF(LEN(TRIM(A204))=0,"",COUNTIFS(Students!E:E, A204))</f>
        <v/>
      </c>
      <c r="E204" s="6" t="str">
        <f>IF(LEN(TRIM(A204))=0,"",COUNTIFS(Students!E:E, A204, Students!D:D, "&lt;&gt;"))</f>
        <v/>
      </c>
      <c r="F204" s="6" t="str">
        <f t="shared" si="6"/>
        <v/>
      </c>
      <c r="G204" s="7" t="str">
        <f t="shared" si="7"/>
        <v/>
      </c>
    </row>
    <row r="205" spans="4:7" x14ac:dyDescent="0.2">
      <c r="D205" s="6" t="str">
        <f>IF(LEN(TRIM(A205))=0,"",COUNTIFS(Students!E:E, A205))</f>
        <v/>
      </c>
      <c r="E205" s="6" t="str">
        <f>IF(LEN(TRIM(A205))=0,"",COUNTIFS(Students!E:E, A205, Students!D:D, "&lt;&gt;"))</f>
        <v/>
      </c>
      <c r="F205" s="6" t="str">
        <f t="shared" si="6"/>
        <v/>
      </c>
      <c r="G205" s="7" t="str">
        <f t="shared" si="7"/>
        <v/>
      </c>
    </row>
    <row r="206" spans="4:7" x14ac:dyDescent="0.2">
      <c r="D206" s="6" t="str">
        <f>IF(LEN(TRIM(A206))=0,"",COUNTIFS(Students!E:E, A206))</f>
        <v/>
      </c>
      <c r="E206" s="6" t="str">
        <f>IF(LEN(TRIM(A206))=0,"",COUNTIFS(Students!E:E, A206, Students!D:D, "&lt;&gt;"))</f>
        <v/>
      </c>
      <c r="F206" s="6" t="str">
        <f t="shared" si="6"/>
        <v/>
      </c>
      <c r="G206" s="7" t="str">
        <f t="shared" si="7"/>
        <v/>
      </c>
    </row>
    <row r="207" spans="4:7" x14ac:dyDescent="0.2">
      <c r="D207" s="6" t="str">
        <f>IF(LEN(TRIM(A207))=0,"",COUNTIFS(Students!E:E, A207))</f>
        <v/>
      </c>
      <c r="E207" s="6" t="str">
        <f>IF(LEN(TRIM(A207))=0,"",COUNTIFS(Students!E:E, A207, Students!D:D, "&lt;&gt;"))</f>
        <v/>
      </c>
      <c r="F207" s="6" t="str">
        <f t="shared" si="6"/>
        <v/>
      </c>
      <c r="G207" s="7" t="str">
        <f t="shared" si="7"/>
        <v/>
      </c>
    </row>
    <row r="208" spans="4:7" x14ac:dyDescent="0.2">
      <c r="D208" s="6" t="str">
        <f>IF(LEN(TRIM(A208))=0,"",COUNTIFS(Students!E:E, A208))</f>
        <v/>
      </c>
      <c r="E208" s="6" t="str">
        <f>IF(LEN(TRIM(A208))=0,"",COUNTIFS(Students!E:E, A208, Students!D:D, "&lt;&gt;"))</f>
        <v/>
      </c>
      <c r="F208" s="6" t="str">
        <f t="shared" si="6"/>
        <v/>
      </c>
      <c r="G208" s="7" t="str">
        <f t="shared" si="7"/>
        <v/>
      </c>
    </row>
    <row r="209" spans="4:7" x14ac:dyDescent="0.2">
      <c r="D209" s="6" t="str">
        <f>IF(LEN(TRIM(A209))=0,"",COUNTIFS(Students!E:E, A209))</f>
        <v/>
      </c>
      <c r="E209" s="6" t="str">
        <f>IF(LEN(TRIM(A209))=0,"",COUNTIFS(Students!E:E, A209, Students!D:D, "&lt;&gt;"))</f>
        <v/>
      </c>
      <c r="F209" s="6" t="str">
        <f t="shared" si="6"/>
        <v/>
      </c>
      <c r="G209" s="7" t="str">
        <f t="shared" si="7"/>
        <v/>
      </c>
    </row>
    <row r="210" spans="4:7" x14ac:dyDescent="0.2">
      <c r="D210" s="6" t="str">
        <f>IF(LEN(TRIM(A210))=0,"",COUNTIFS(Students!E:E, A210))</f>
        <v/>
      </c>
      <c r="E210" s="6" t="str">
        <f>IF(LEN(TRIM(A210))=0,"",COUNTIFS(Students!E:E, A210, Students!D:D, "&lt;&gt;"))</f>
        <v/>
      </c>
      <c r="F210" s="6" t="str">
        <f t="shared" si="6"/>
        <v/>
      </c>
      <c r="G210" s="7" t="str">
        <f t="shared" si="7"/>
        <v/>
      </c>
    </row>
    <row r="211" spans="4:7" x14ac:dyDescent="0.2">
      <c r="D211" s="6" t="str">
        <f>IF(LEN(TRIM(A211))=0,"",COUNTIFS(Students!E:E, A211))</f>
        <v/>
      </c>
      <c r="E211" s="6" t="str">
        <f>IF(LEN(TRIM(A211))=0,"",COUNTIFS(Students!E:E, A211, Students!D:D, "&lt;&gt;"))</f>
        <v/>
      </c>
      <c r="F211" s="6" t="str">
        <f t="shared" si="6"/>
        <v/>
      </c>
      <c r="G211" s="7" t="str">
        <f t="shared" si="7"/>
        <v/>
      </c>
    </row>
    <row r="212" spans="4:7" x14ac:dyDescent="0.2">
      <c r="D212" s="6" t="str">
        <f>IF(LEN(TRIM(A212))=0,"",COUNTIFS(Students!E:E, A212))</f>
        <v/>
      </c>
      <c r="E212" s="6" t="str">
        <f>IF(LEN(TRIM(A212))=0,"",COUNTIFS(Students!E:E, A212, Students!D:D, "&lt;&gt;"))</f>
        <v/>
      </c>
      <c r="F212" s="6" t="str">
        <f t="shared" si="6"/>
        <v/>
      </c>
      <c r="G212" s="7" t="str">
        <f t="shared" si="7"/>
        <v/>
      </c>
    </row>
    <row r="213" spans="4:7" x14ac:dyDescent="0.2">
      <c r="D213" s="6" t="str">
        <f>IF(LEN(TRIM(A213))=0,"",COUNTIFS(Students!E:E, A213))</f>
        <v/>
      </c>
      <c r="E213" s="6" t="str">
        <f>IF(LEN(TRIM(A213))=0,"",COUNTIFS(Students!E:E, A213, Students!D:D, "&lt;&gt;"))</f>
        <v/>
      </c>
      <c r="F213" s="6" t="str">
        <f t="shared" si="6"/>
        <v/>
      </c>
      <c r="G213" s="7" t="str">
        <f t="shared" si="7"/>
        <v/>
      </c>
    </row>
  </sheetData>
  <sheetProtection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Button3_Click">
                <anchor moveWithCells="1" sizeWithCells="1">
                  <from>
                    <xdr:col>9</xdr:col>
                    <xdr:colOff>381000</xdr:colOff>
                    <xdr:row>2</xdr:row>
                    <xdr:rowOff>114300</xdr:rowOff>
                  </from>
                  <to>
                    <xdr:col>12</xdr:col>
                    <xdr:colOff>38100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596D2-E056-41FE-9AA5-E557B0D53E24}">
  <sheetPr codeName="Sheet5">
    <pageSetUpPr fitToPage="1"/>
  </sheetPr>
  <dimension ref="A1:H500"/>
  <sheetViews>
    <sheetView showGridLines="0" tabSelected="1" zoomScaleNormal="100" workbookViewId="0">
      <selection activeCell="F17" sqref="F17"/>
    </sheetView>
  </sheetViews>
  <sheetFormatPr defaultRowHeight="14.25" x14ac:dyDescent="0.2"/>
  <cols>
    <col min="1" max="2" width="9" style="8"/>
    <col min="3" max="3" width="13.75" style="8" customWidth="1"/>
    <col min="4" max="4" width="9" style="8"/>
    <col min="5" max="5" width="15.75" style="8" bestFit="1" customWidth="1"/>
    <col min="6" max="6" width="33.5" style="8" bestFit="1" customWidth="1"/>
    <col min="7" max="16384" width="9" style="8"/>
  </cols>
  <sheetData>
    <row r="1" spans="1:8" x14ac:dyDescent="0.2">
      <c r="A1" s="29" t="s">
        <v>23</v>
      </c>
      <c r="B1" s="29"/>
      <c r="C1" s="29"/>
      <c r="D1" s="29"/>
      <c r="E1" s="29"/>
      <c r="F1" s="29"/>
      <c r="G1" s="29"/>
      <c r="H1" s="29"/>
    </row>
    <row r="2" spans="1:8" x14ac:dyDescent="0.2">
      <c r="A2" s="29"/>
      <c r="B2" s="29"/>
      <c r="C2" s="29"/>
      <c r="D2" s="29"/>
      <c r="E2" s="29"/>
      <c r="F2" s="29"/>
      <c r="G2" s="29"/>
      <c r="H2" s="29"/>
    </row>
    <row r="3" spans="1:8" ht="15" x14ac:dyDescent="0.25">
      <c r="B3" s="30" t="s">
        <v>24</v>
      </c>
      <c r="C3" s="30"/>
      <c r="D3" s="30"/>
      <c r="E3" s="30"/>
    </row>
    <row r="5" spans="1:8" ht="15.75" x14ac:dyDescent="0.25">
      <c r="B5" s="8" t="s">
        <v>11</v>
      </c>
      <c r="C5" s="10" t="s">
        <v>26</v>
      </c>
      <c r="E5" s="17" t="s">
        <v>14</v>
      </c>
      <c r="F5" s="9" t="str">
        <f>UPPER(IFERROR(VLOOKUP(C5, Schools!A:E, 2, FALSE), ""))</f>
        <v/>
      </c>
    </row>
    <row r="6" spans="1:8" ht="15.75" x14ac:dyDescent="0.25">
      <c r="B6" s="8" t="s">
        <v>12</v>
      </c>
      <c r="C6" s="10" t="s">
        <v>25</v>
      </c>
      <c r="E6" s="17" t="s">
        <v>13</v>
      </c>
      <c r="F6" s="9" t="str">
        <f>UPPER(IFERROR(VLOOKUP(C6, Subjects!A:C, 3, FALSE), ""))</f>
        <v/>
      </c>
    </row>
    <row r="7" spans="1:8" ht="15.75" x14ac:dyDescent="0.25">
      <c r="E7" s="17" t="s">
        <v>15</v>
      </c>
      <c r="F7" s="9" t="str">
        <f>UPPER(IFERROR(VLOOKUP(C5, Schools!A:E, 5, FALSE), ""))</f>
        <v/>
      </c>
    </row>
    <row r="8" spans="1:8" ht="15.75" x14ac:dyDescent="0.25">
      <c r="E8" s="17" t="s">
        <v>16</v>
      </c>
      <c r="F8" s="9" t="str">
        <f>UPPER(IFERROR(VLOOKUP(C5, Schools!A:E, 4, FALSE), ""))</f>
        <v/>
      </c>
    </row>
    <row r="9" spans="1:8" ht="15.75" x14ac:dyDescent="0.25">
      <c r="E9" s="17" t="s">
        <v>17</v>
      </c>
      <c r="F9" s="9" t="str">
        <f>IFERROR(VLOOKUP(C5, Schools!A:E, 3, FALSE), "")</f>
        <v/>
      </c>
    </row>
    <row r="500" spans="1:1" x14ac:dyDescent="0.2">
      <c r="A500" s="8" t="s">
        <v>27</v>
      </c>
    </row>
  </sheetData>
  <sheetProtection autoFilter="0"/>
  <mergeCells count="2">
    <mergeCell ref="A1:H2"/>
    <mergeCell ref="B3:E3"/>
  </mergeCells>
  <pageMargins left="0.7" right="0.7" top="0.75" bottom="0.75" header="0.3" footer="0.3"/>
  <pageSetup scale="7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4" name="Button 6">
              <controlPr defaultSize="0" print="0" autoFill="0" autoPict="0" macro="[0]!FilterStudents_Fast">
                <anchor moveWithCells="1" sizeWithCells="1">
                  <from>
                    <xdr:col>0</xdr:col>
                    <xdr:colOff>495300</xdr:colOff>
                    <xdr:row>8</xdr:row>
                    <xdr:rowOff>47625</xdr:rowOff>
                  </from>
                  <to>
                    <xdr:col>2</xdr:col>
                    <xdr:colOff>1038225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5" name="Button 37">
              <controlPr defaultSize="0" print="0" autoFill="0" autoPict="0" macro="[0]!SubjectProgress">
                <anchor moveWithCells="1" sizeWithCells="1">
                  <from>
                    <xdr:col>4</xdr:col>
                    <xdr:colOff>876300</xdr:colOff>
                    <xdr:row>11</xdr:row>
                    <xdr:rowOff>104775</xdr:rowOff>
                  </from>
                  <to>
                    <xdr:col>5</xdr:col>
                    <xdr:colOff>1781175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6" name="Button 38">
              <controlPr defaultSize="0" print="0" autoFill="0" autoPict="0" macro="[0]!Button38_Click">
                <anchor moveWithCells="1" sizeWithCells="1">
                  <from>
                    <xdr:col>4</xdr:col>
                    <xdr:colOff>942975</xdr:colOff>
                    <xdr:row>16</xdr:row>
                    <xdr:rowOff>19050</xdr:rowOff>
                  </from>
                  <to>
                    <xdr:col>5</xdr:col>
                    <xdr:colOff>1781175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D76AA6-7539-425F-A61C-F04CCF264CE7}">
          <x14:formula1>
            <xm:f>Schools!$A$2:$A$5001</xm:f>
          </x14:formula1>
          <xm:sqref>C5</xm:sqref>
        </x14:dataValidation>
        <x14:dataValidation type="list" allowBlank="1" showInputMessage="1" showErrorMessage="1" xr:uid="{A1147F87-9128-40A7-8F7B-1C73F78F4739}">
          <x14:formula1>
            <xm:f>Subjects!$A$2:$A$500</xm:f>
          </x14:formula1>
          <xm:sqref>C6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Students</vt:lpstr>
      <vt:lpstr>Schools</vt:lpstr>
      <vt:lpstr>Subjects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Kiyabo K. Nhende</dc:creator>
  <cp:lastModifiedBy>Kiyabo K. Nhende</cp:lastModifiedBy>
  <cp:lastPrinted>2025-07-02T16:56:50Z</cp:lastPrinted>
  <dcterms:created xsi:type="dcterms:W3CDTF">2025-07-02T05:26:51Z</dcterms:created>
  <dcterms:modified xsi:type="dcterms:W3CDTF">2025-07-22T14:53:51Z</dcterms:modified>
</cp:coreProperties>
</file>