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utils\excel\"/>
    </mc:Choice>
  </mc:AlternateContent>
  <xr:revisionPtr revIDLastSave="0" documentId="13_ncr:1_{ED05DB0E-BB64-47CF-856D-E7BFDB842F00}" xr6:coauthVersionLast="47" xr6:coauthVersionMax="47" xr10:uidLastSave="{00000000-0000-0000-0000-000000000000}"/>
  <bookViews>
    <workbookView showHorizontalScroll="0" showSheetTabs="0" xWindow="-120" yWindow="-120" windowWidth="20730" windowHeight="11040" activeTab="3" xr2:uid="{81502461-A4A6-4D90-9480-DE92ED817A1B}"/>
  </bookViews>
  <sheets>
    <sheet name="Students" sheetId="1" r:id="rId1"/>
    <sheet name="Schools" sheetId="2" r:id="rId2"/>
    <sheet name="Subjects" sheetId="3" r:id="rId3"/>
    <sheet name="Interfac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F3" i="2"/>
  <c r="G3" i="2"/>
  <c r="H3" i="2"/>
  <c r="F4" i="2"/>
  <c r="H4" i="2" s="1"/>
  <c r="G4" i="2"/>
  <c r="F5" i="2"/>
  <c r="G5" i="2"/>
  <c r="F6" i="2"/>
  <c r="G6" i="2"/>
  <c r="H6" i="2"/>
  <c r="F7" i="2"/>
  <c r="G7" i="2"/>
  <c r="H7" i="2"/>
  <c r="F8" i="2"/>
  <c r="H8" i="2" s="1"/>
  <c r="G8" i="2"/>
  <c r="F9" i="2"/>
  <c r="H9" i="2" s="1"/>
  <c r="G9" i="2"/>
  <c r="F10" i="2"/>
  <c r="G10" i="2"/>
  <c r="H10" i="2"/>
  <c r="F11" i="2"/>
  <c r="G11" i="2"/>
  <c r="H11" i="2"/>
  <c r="F12" i="2"/>
  <c r="H12" i="2" s="1"/>
  <c r="G12" i="2"/>
  <c r="F13" i="2"/>
  <c r="G13" i="2"/>
  <c r="F14" i="2"/>
  <c r="G14" i="2"/>
  <c r="H14" i="2"/>
  <c r="F15" i="2"/>
  <c r="G15" i="2"/>
  <c r="H15" i="2"/>
  <c r="F16" i="2"/>
  <c r="H16" i="2" s="1"/>
  <c r="G16" i="2"/>
  <c r="F17" i="2"/>
  <c r="H17" i="2" s="1"/>
  <c r="G17" i="2"/>
  <c r="F18" i="2"/>
  <c r="G18" i="2"/>
  <c r="H18" i="2"/>
  <c r="F19" i="2"/>
  <c r="G19" i="2"/>
  <c r="H19" i="2"/>
  <c r="F20" i="2"/>
  <c r="H20" i="2" s="1"/>
  <c r="G20" i="2"/>
  <c r="F21" i="2"/>
  <c r="G21" i="2"/>
  <c r="F22" i="2"/>
  <c r="G22" i="2"/>
  <c r="H22" i="2"/>
  <c r="F23" i="2"/>
  <c r="G23" i="2"/>
  <c r="H23" i="2"/>
  <c r="F24" i="2"/>
  <c r="H24" i="2" s="1"/>
  <c r="G24" i="2"/>
  <c r="F25" i="2"/>
  <c r="H25" i="2" s="1"/>
  <c r="G25" i="2"/>
  <c r="F26" i="2"/>
  <c r="G26" i="2"/>
  <c r="H26" i="2"/>
  <c r="F27" i="2"/>
  <c r="G27" i="2"/>
  <c r="H27" i="2"/>
  <c r="F28" i="2"/>
  <c r="H28" i="2" s="1"/>
  <c r="G28" i="2"/>
  <c r="F29" i="2"/>
  <c r="H29" i="2" s="1"/>
  <c r="G29" i="2"/>
  <c r="F30" i="2"/>
  <c r="G30" i="2"/>
  <c r="H30" i="2"/>
  <c r="F31" i="2"/>
  <c r="G31" i="2"/>
  <c r="H31" i="2"/>
  <c r="F32" i="2"/>
  <c r="H32" i="2" s="1"/>
  <c r="G32" i="2"/>
  <c r="F33" i="2"/>
  <c r="H33" i="2" s="1"/>
  <c r="G33" i="2"/>
  <c r="F34" i="2"/>
  <c r="G34" i="2"/>
  <c r="H34" i="2"/>
  <c r="F35" i="2"/>
  <c r="G35" i="2"/>
  <c r="H35" i="2"/>
  <c r="F36" i="2"/>
  <c r="H36" i="2" s="1"/>
  <c r="G36" i="2"/>
  <c r="F37" i="2"/>
  <c r="H37" i="2" s="1"/>
  <c r="G37" i="2"/>
  <c r="F38" i="2"/>
  <c r="G38" i="2"/>
  <c r="H38" i="2"/>
  <c r="F39" i="2"/>
  <c r="G39" i="2"/>
  <c r="H39" i="2"/>
  <c r="F40" i="2"/>
  <c r="H40" i="2" s="1"/>
  <c r="G40" i="2"/>
  <c r="F41" i="2"/>
  <c r="H41" i="2" s="1"/>
  <c r="G41" i="2"/>
  <c r="F42" i="2"/>
  <c r="G42" i="2"/>
  <c r="H42" i="2"/>
  <c r="F43" i="2"/>
  <c r="G43" i="2"/>
  <c r="H43" i="2"/>
  <c r="F44" i="2"/>
  <c r="H44" i="2" s="1"/>
  <c r="G44" i="2"/>
  <c r="F45" i="2"/>
  <c r="H45" i="2" s="1"/>
  <c r="G45" i="2"/>
  <c r="F46" i="2"/>
  <c r="G46" i="2"/>
  <c r="H46" i="2"/>
  <c r="F47" i="2"/>
  <c r="G47" i="2"/>
  <c r="H47" i="2"/>
  <c r="F48" i="2"/>
  <c r="H48" i="2" s="1"/>
  <c r="G48" i="2"/>
  <c r="F49" i="2"/>
  <c r="H49" i="2" s="1"/>
  <c r="G49" i="2"/>
  <c r="F50" i="2"/>
  <c r="G50" i="2"/>
  <c r="H50" i="2"/>
  <c r="F51" i="2"/>
  <c r="G51" i="2"/>
  <c r="H51" i="2"/>
  <c r="F52" i="2"/>
  <c r="H52" i="2" s="1"/>
  <c r="G52" i="2"/>
  <c r="F53" i="2"/>
  <c r="H53" i="2" s="1"/>
  <c r="G53" i="2"/>
  <c r="F54" i="2"/>
  <c r="G54" i="2"/>
  <c r="H54" i="2"/>
  <c r="F55" i="2"/>
  <c r="G55" i="2"/>
  <c r="H55" i="2"/>
  <c r="F56" i="2"/>
  <c r="H56" i="2" s="1"/>
  <c r="G56" i="2"/>
  <c r="F57" i="2"/>
  <c r="H57" i="2" s="1"/>
  <c r="G57" i="2"/>
  <c r="F58" i="2"/>
  <c r="G58" i="2"/>
  <c r="H58" i="2"/>
  <c r="F59" i="2"/>
  <c r="G59" i="2"/>
  <c r="H59" i="2"/>
  <c r="F60" i="2"/>
  <c r="H60" i="2" s="1"/>
  <c r="G60" i="2"/>
  <c r="F61" i="2"/>
  <c r="H61" i="2" s="1"/>
  <c r="G61" i="2"/>
  <c r="F62" i="2"/>
  <c r="G62" i="2"/>
  <c r="H62" i="2"/>
  <c r="F63" i="2"/>
  <c r="G63" i="2"/>
  <c r="H63" i="2"/>
  <c r="F64" i="2"/>
  <c r="H64" i="2" s="1"/>
  <c r="G64" i="2"/>
  <c r="F65" i="2"/>
  <c r="H65" i="2" s="1"/>
  <c r="G65" i="2"/>
  <c r="F66" i="2"/>
  <c r="G66" i="2"/>
  <c r="H66" i="2"/>
  <c r="F67" i="2"/>
  <c r="G67" i="2"/>
  <c r="H67" i="2"/>
  <c r="F68" i="2"/>
  <c r="H68" i="2" s="1"/>
  <c r="G68" i="2"/>
  <c r="F69" i="2"/>
  <c r="H69" i="2" s="1"/>
  <c r="G69" i="2"/>
  <c r="F70" i="2"/>
  <c r="G70" i="2"/>
  <c r="H70" i="2"/>
  <c r="F71" i="2"/>
  <c r="G71" i="2"/>
  <c r="H71" i="2"/>
  <c r="F72" i="2"/>
  <c r="H72" i="2" s="1"/>
  <c r="G72" i="2"/>
  <c r="F73" i="2"/>
  <c r="H73" i="2" s="1"/>
  <c r="G73" i="2"/>
  <c r="F74" i="2"/>
  <c r="G74" i="2"/>
  <c r="H74" i="2"/>
  <c r="F75" i="2"/>
  <c r="G75" i="2"/>
  <c r="H75" i="2"/>
  <c r="F76" i="2"/>
  <c r="H76" i="2" s="1"/>
  <c r="G76" i="2"/>
  <c r="F77" i="2"/>
  <c r="H77" i="2" s="1"/>
  <c r="G77" i="2"/>
  <c r="F78" i="2"/>
  <c r="G78" i="2"/>
  <c r="H78" i="2"/>
  <c r="F79" i="2"/>
  <c r="G79" i="2"/>
  <c r="H79" i="2"/>
  <c r="F80" i="2"/>
  <c r="H80" i="2" s="1"/>
  <c r="G80" i="2"/>
  <c r="F81" i="2"/>
  <c r="H81" i="2" s="1"/>
  <c r="G81" i="2"/>
  <c r="F82" i="2"/>
  <c r="G82" i="2"/>
  <c r="H82" i="2"/>
  <c r="F83" i="2"/>
  <c r="G83" i="2"/>
  <c r="H83" i="2"/>
  <c r="F84" i="2"/>
  <c r="H84" i="2" s="1"/>
  <c r="G84" i="2"/>
  <c r="F85" i="2"/>
  <c r="H85" i="2" s="1"/>
  <c r="G85" i="2"/>
  <c r="F86" i="2"/>
  <c r="G86" i="2"/>
  <c r="H86" i="2"/>
  <c r="F87" i="2"/>
  <c r="G87" i="2"/>
  <c r="H87" i="2"/>
  <c r="F88" i="2"/>
  <c r="H88" i="2" s="1"/>
  <c r="G88" i="2"/>
  <c r="F89" i="2"/>
  <c r="H89" i="2" s="1"/>
  <c r="G89" i="2"/>
  <c r="F90" i="2"/>
  <c r="G90" i="2"/>
  <c r="H90" i="2"/>
  <c r="F91" i="2"/>
  <c r="G91" i="2"/>
  <c r="H91" i="2"/>
  <c r="F92" i="2"/>
  <c r="H92" i="2" s="1"/>
  <c r="G92" i="2"/>
  <c r="F93" i="2"/>
  <c r="H93" i="2" s="1"/>
  <c r="G93" i="2"/>
  <c r="F94" i="2"/>
  <c r="G94" i="2"/>
  <c r="H94" i="2"/>
  <c r="F95" i="2"/>
  <c r="G95" i="2"/>
  <c r="H95" i="2"/>
  <c r="F96" i="2"/>
  <c r="H96" i="2" s="1"/>
  <c r="G96" i="2"/>
  <c r="F97" i="2"/>
  <c r="H97" i="2" s="1"/>
  <c r="G97" i="2"/>
  <c r="F98" i="2"/>
  <c r="G98" i="2"/>
  <c r="H98" i="2"/>
  <c r="F99" i="2"/>
  <c r="G99" i="2"/>
  <c r="H99" i="2"/>
  <c r="F100" i="2"/>
  <c r="H100" i="2" s="1"/>
  <c r="G100" i="2"/>
  <c r="F101" i="2"/>
  <c r="H101" i="2" s="1"/>
  <c r="G101" i="2"/>
  <c r="F102" i="2"/>
  <c r="G102" i="2"/>
  <c r="H102" i="2"/>
  <c r="F103" i="2"/>
  <c r="G103" i="2"/>
  <c r="H103" i="2"/>
  <c r="F104" i="2"/>
  <c r="H104" i="2" s="1"/>
  <c r="G104" i="2"/>
  <c r="F105" i="2"/>
  <c r="H105" i="2" s="1"/>
  <c r="G105" i="2"/>
  <c r="F106" i="2"/>
  <c r="G106" i="2"/>
  <c r="H106" i="2"/>
  <c r="F107" i="2"/>
  <c r="G107" i="2"/>
  <c r="H107" i="2"/>
  <c r="F108" i="2"/>
  <c r="H108" i="2" s="1"/>
  <c r="G108" i="2"/>
  <c r="F109" i="2"/>
  <c r="H109" i="2" s="1"/>
  <c r="G109" i="2"/>
  <c r="F110" i="2"/>
  <c r="G110" i="2"/>
  <c r="H110" i="2"/>
  <c r="F111" i="2"/>
  <c r="G111" i="2"/>
  <c r="H111" i="2"/>
  <c r="F112" i="2"/>
  <c r="H112" i="2" s="1"/>
  <c r="G112" i="2"/>
  <c r="F113" i="2"/>
  <c r="H113" i="2" s="1"/>
  <c r="G113" i="2"/>
  <c r="F114" i="2"/>
  <c r="G114" i="2"/>
  <c r="H114" i="2"/>
  <c r="F115" i="2"/>
  <c r="G115" i="2"/>
  <c r="H115" i="2"/>
  <c r="F116" i="2"/>
  <c r="H116" i="2" s="1"/>
  <c r="G116" i="2"/>
  <c r="F117" i="2"/>
  <c r="H117" i="2" s="1"/>
  <c r="G117" i="2"/>
  <c r="F118" i="2"/>
  <c r="G118" i="2"/>
  <c r="H118" i="2"/>
  <c r="F119" i="2"/>
  <c r="G119" i="2"/>
  <c r="H119" i="2"/>
  <c r="F120" i="2"/>
  <c r="H120" i="2" s="1"/>
  <c r="G120" i="2"/>
  <c r="F121" i="2"/>
  <c r="H121" i="2" s="1"/>
  <c r="G121" i="2"/>
  <c r="F122" i="2"/>
  <c r="G122" i="2"/>
  <c r="H122" i="2"/>
  <c r="F123" i="2"/>
  <c r="G123" i="2"/>
  <c r="H123" i="2"/>
  <c r="F124" i="2"/>
  <c r="H124" i="2" s="1"/>
  <c r="G124" i="2"/>
  <c r="F125" i="2"/>
  <c r="H125" i="2" s="1"/>
  <c r="G125" i="2"/>
  <c r="F126" i="2"/>
  <c r="G126" i="2"/>
  <c r="H126" i="2"/>
  <c r="F127" i="2"/>
  <c r="G127" i="2"/>
  <c r="H127" i="2"/>
  <c r="F128" i="2"/>
  <c r="H128" i="2" s="1"/>
  <c r="G128" i="2"/>
  <c r="F129" i="2"/>
  <c r="H129" i="2" s="1"/>
  <c r="G129" i="2"/>
  <c r="F130" i="2"/>
  <c r="G130" i="2"/>
  <c r="H130" i="2"/>
  <c r="F131" i="2"/>
  <c r="G131" i="2"/>
  <c r="H131" i="2"/>
  <c r="F132" i="2"/>
  <c r="H132" i="2" s="1"/>
  <c r="G132" i="2"/>
  <c r="F133" i="2"/>
  <c r="H133" i="2" s="1"/>
  <c r="G133" i="2"/>
  <c r="F134" i="2"/>
  <c r="G134" i="2"/>
  <c r="H134" i="2"/>
  <c r="F135" i="2"/>
  <c r="G135" i="2"/>
  <c r="H135" i="2"/>
  <c r="F136" i="2"/>
  <c r="H136" i="2" s="1"/>
  <c r="G136" i="2"/>
  <c r="F137" i="2"/>
  <c r="H137" i="2" s="1"/>
  <c r="G137" i="2"/>
  <c r="F138" i="2"/>
  <c r="G138" i="2"/>
  <c r="H138" i="2"/>
  <c r="F139" i="2"/>
  <c r="G139" i="2"/>
  <c r="H139" i="2"/>
  <c r="F140" i="2"/>
  <c r="H140" i="2" s="1"/>
  <c r="G140" i="2"/>
  <c r="F141" i="2"/>
  <c r="H141" i="2" s="1"/>
  <c r="G141" i="2"/>
  <c r="F142" i="2"/>
  <c r="G142" i="2"/>
  <c r="H142" i="2"/>
  <c r="F143" i="2"/>
  <c r="G143" i="2"/>
  <c r="H143" i="2"/>
  <c r="F144" i="2"/>
  <c r="H144" i="2" s="1"/>
  <c r="G144" i="2"/>
  <c r="F145" i="2"/>
  <c r="H145" i="2" s="1"/>
  <c r="G145" i="2"/>
  <c r="F146" i="2"/>
  <c r="G146" i="2"/>
  <c r="H146" i="2"/>
  <c r="F147" i="2"/>
  <c r="G147" i="2"/>
  <c r="H147" i="2"/>
  <c r="F148" i="2"/>
  <c r="H148" i="2" s="1"/>
  <c r="G148" i="2"/>
  <c r="F149" i="2"/>
  <c r="H149" i="2" s="1"/>
  <c r="G149" i="2"/>
  <c r="F150" i="2"/>
  <c r="G150" i="2"/>
  <c r="H150" i="2"/>
  <c r="F151" i="2"/>
  <c r="G151" i="2"/>
  <c r="H151" i="2"/>
  <c r="F152" i="2"/>
  <c r="H152" i="2" s="1"/>
  <c r="G152" i="2"/>
  <c r="F153" i="2"/>
  <c r="H153" i="2" s="1"/>
  <c r="G153" i="2"/>
  <c r="F154" i="2"/>
  <c r="G154" i="2"/>
  <c r="H154" i="2"/>
  <c r="F155" i="2"/>
  <c r="G155" i="2"/>
  <c r="H155" i="2"/>
  <c r="F156" i="2"/>
  <c r="H156" i="2" s="1"/>
  <c r="G156" i="2"/>
  <c r="F157" i="2"/>
  <c r="H157" i="2" s="1"/>
  <c r="G157" i="2"/>
  <c r="F158" i="2"/>
  <c r="G158" i="2"/>
  <c r="H158" i="2"/>
  <c r="F159" i="2"/>
  <c r="G159" i="2"/>
  <c r="H159" i="2"/>
  <c r="F160" i="2"/>
  <c r="H160" i="2" s="1"/>
  <c r="G160" i="2"/>
  <c r="F161" i="2"/>
  <c r="H161" i="2" s="1"/>
  <c r="G161" i="2"/>
  <c r="F162" i="2"/>
  <c r="G162" i="2"/>
  <c r="H162" i="2"/>
  <c r="F163" i="2"/>
  <c r="G163" i="2"/>
  <c r="H163" i="2"/>
  <c r="F164" i="2"/>
  <c r="H164" i="2" s="1"/>
  <c r="G164" i="2"/>
  <c r="F165" i="2"/>
  <c r="H165" i="2" s="1"/>
  <c r="G165" i="2"/>
  <c r="F166" i="2"/>
  <c r="G166" i="2"/>
  <c r="H166" i="2"/>
  <c r="F167" i="2"/>
  <c r="G167" i="2"/>
  <c r="H167" i="2"/>
  <c r="F168" i="2"/>
  <c r="H168" i="2" s="1"/>
  <c r="G168" i="2"/>
  <c r="F169" i="2"/>
  <c r="H169" i="2" s="1"/>
  <c r="G169" i="2"/>
  <c r="F170" i="2"/>
  <c r="G170" i="2"/>
  <c r="H170" i="2"/>
  <c r="F171" i="2"/>
  <c r="G171" i="2"/>
  <c r="H171" i="2"/>
  <c r="F172" i="2"/>
  <c r="H172" i="2" s="1"/>
  <c r="G172" i="2"/>
  <c r="F173" i="2"/>
  <c r="H173" i="2" s="1"/>
  <c r="G173" i="2"/>
  <c r="F174" i="2"/>
  <c r="G174" i="2"/>
  <c r="H174" i="2"/>
  <c r="F175" i="2"/>
  <c r="G175" i="2"/>
  <c r="H175" i="2"/>
  <c r="F176" i="2"/>
  <c r="H176" i="2" s="1"/>
  <c r="G176" i="2"/>
  <c r="F177" i="2"/>
  <c r="H177" i="2" s="1"/>
  <c r="G177" i="2"/>
  <c r="F178" i="2"/>
  <c r="G178" i="2"/>
  <c r="H178" i="2"/>
  <c r="F179" i="2"/>
  <c r="G179" i="2"/>
  <c r="H179" i="2"/>
  <c r="F180" i="2"/>
  <c r="H180" i="2" s="1"/>
  <c r="G180" i="2"/>
  <c r="F181" i="2"/>
  <c r="H181" i="2" s="1"/>
  <c r="G181" i="2"/>
  <c r="F182" i="2"/>
  <c r="G182" i="2"/>
  <c r="H182" i="2"/>
  <c r="F183" i="2"/>
  <c r="G183" i="2"/>
  <c r="H183" i="2"/>
  <c r="F184" i="2"/>
  <c r="H184" i="2" s="1"/>
  <c r="G184" i="2"/>
  <c r="F185" i="2"/>
  <c r="H185" i="2" s="1"/>
  <c r="G185" i="2"/>
  <c r="F186" i="2"/>
  <c r="G186" i="2"/>
  <c r="H186" i="2"/>
  <c r="F187" i="2"/>
  <c r="G187" i="2"/>
  <c r="H187" i="2"/>
  <c r="F188" i="2"/>
  <c r="H188" i="2" s="1"/>
  <c r="G188" i="2"/>
  <c r="F189" i="2"/>
  <c r="H189" i="2" s="1"/>
  <c r="G189" i="2"/>
  <c r="F190" i="2"/>
  <c r="G190" i="2"/>
  <c r="H190" i="2"/>
  <c r="F191" i="2"/>
  <c r="G191" i="2"/>
  <c r="H191" i="2"/>
  <c r="F192" i="2"/>
  <c r="H192" i="2" s="1"/>
  <c r="G192" i="2"/>
  <c r="F193" i="2"/>
  <c r="H193" i="2" s="1"/>
  <c r="G193" i="2"/>
  <c r="F194" i="2"/>
  <c r="G194" i="2"/>
  <c r="H194" i="2"/>
  <c r="F195" i="2"/>
  <c r="G195" i="2"/>
  <c r="H195" i="2"/>
  <c r="F196" i="2"/>
  <c r="H196" i="2" s="1"/>
  <c r="G196" i="2"/>
  <c r="F197" i="2"/>
  <c r="H197" i="2" s="1"/>
  <c r="G197" i="2"/>
  <c r="F198" i="2"/>
  <c r="G198" i="2"/>
  <c r="H198" i="2"/>
  <c r="F199" i="2"/>
  <c r="G199" i="2"/>
  <c r="H199" i="2"/>
  <c r="F200" i="2"/>
  <c r="H200" i="2" s="1"/>
  <c r="G200" i="2"/>
  <c r="F201" i="2"/>
  <c r="H201" i="2" s="1"/>
  <c r="G201" i="2"/>
  <c r="F202" i="2"/>
  <c r="G202" i="2"/>
  <c r="H202" i="2"/>
  <c r="F203" i="2"/>
  <c r="G203" i="2"/>
  <c r="H203" i="2"/>
  <c r="F204" i="2"/>
  <c r="H204" i="2" s="1"/>
  <c r="G204" i="2"/>
  <c r="F205" i="2"/>
  <c r="H205" i="2" s="1"/>
  <c r="G205" i="2"/>
  <c r="F206" i="2"/>
  <c r="G206" i="2"/>
  <c r="H206" i="2"/>
  <c r="F207" i="2"/>
  <c r="G207" i="2"/>
  <c r="H207" i="2"/>
  <c r="F208" i="2"/>
  <c r="H208" i="2" s="1"/>
  <c r="G208" i="2"/>
  <c r="F209" i="2"/>
  <c r="H209" i="2" s="1"/>
  <c r="G209" i="2"/>
  <c r="F210" i="2"/>
  <c r="G210" i="2"/>
  <c r="H210" i="2"/>
  <c r="F211" i="2"/>
  <c r="G211" i="2"/>
  <c r="H211" i="2"/>
  <c r="F212" i="2"/>
  <c r="H212" i="2" s="1"/>
  <c r="G212" i="2"/>
  <c r="F213" i="2"/>
  <c r="H213" i="2" s="1"/>
  <c r="G213" i="2"/>
  <c r="F214" i="2"/>
  <c r="G214" i="2"/>
  <c r="H214" i="2"/>
  <c r="F215" i="2"/>
  <c r="G215" i="2"/>
  <c r="H215" i="2"/>
  <c r="F216" i="2"/>
  <c r="H216" i="2" s="1"/>
  <c r="G216" i="2"/>
  <c r="F217" i="2"/>
  <c r="H217" i="2" s="1"/>
  <c r="G217" i="2"/>
  <c r="F218" i="2"/>
  <c r="G218" i="2"/>
  <c r="H218" i="2"/>
  <c r="F219" i="2"/>
  <c r="G219" i="2"/>
  <c r="H219" i="2"/>
  <c r="F220" i="2"/>
  <c r="H220" i="2" s="1"/>
  <c r="G220" i="2"/>
  <c r="F221" i="2"/>
  <c r="H221" i="2" s="1"/>
  <c r="G221" i="2"/>
  <c r="F222" i="2"/>
  <c r="G222" i="2"/>
  <c r="H222" i="2"/>
  <c r="F223" i="2"/>
  <c r="G223" i="2"/>
  <c r="H223" i="2"/>
  <c r="F224" i="2"/>
  <c r="H224" i="2" s="1"/>
  <c r="G224" i="2"/>
  <c r="F225" i="2"/>
  <c r="H225" i="2" s="1"/>
  <c r="G225" i="2"/>
  <c r="F226" i="2"/>
  <c r="G226" i="2"/>
  <c r="H226" i="2"/>
  <c r="F227" i="2"/>
  <c r="G227" i="2"/>
  <c r="H227" i="2"/>
  <c r="F228" i="2"/>
  <c r="H228" i="2" s="1"/>
  <c r="G228" i="2"/>
  <c r="F229" i="2"/>
  <c r="H229" i="2" s="1"/>
  <c r="G229" i="2"/>
  <c r="F230" i="2"/>
  <c r="G230" i="2"/>
  <c r="H230" i="2"/>
  <c r="F231" i="2"/>
  <c r="G231" i="2"/>
  <c r="H231" i="2"/>
  <c r="F232" i="2"/>
  <c r="H232" i="2" s="1"/>
  <c r="G232" i="2"/>
  <c r="F233" i="2"/>
  <c r="H233" i="2" s="1"/>
  <c r="G233" i="2"/>
  <c r="F234" i="2"/>
  <c r="G234" i="2"/>
  <c r="H234" i="2"/>
  <c r="F235" i="2"/>
  <c r="G235" i="2"/>
  <c r="H235" i="2"/>
  <c r="F236" i="2"/>
  <c r="H236" i="2" s="1"/>
  <c r="G236" i="2"/>
  <c r="F237" i="2"/>
  <c r="H237" i="2" s="1"/>
  <c r="G237" i="2"/>
  <c r="F238" i="2"/>
  <c r="G238" i="2"/>
  <c r="H238" i="2"/>
  <c r="F239" i="2"/>
  <c r="G239" i="2"/>
  <c r="H239" i="2"/>
  <c r="F240" i="2"/>
  <c r="H240" i="2" s="1"/>
  <c r="G240" i="2"/>
  <c r="F241" i="2"/>
  <c r="H241" i="2" s="1"/>
  <c r="G241" i="2"/>
  <c r="F242" i="2"/>
  <c r="G242" i="2"/>
  <c r="H242" i="2"/>
  <c r="F243" i="2"/>
  <c r="G243" i="2"/>
  <c r="H243" i="2"/>
  <c r="F244" i="2"/>
  <c r="H244" i="2" s="1"/>
  <c r="G244" i="2"/>
  <c r="F245" i="2"/>
  <c r="H245" i="2" s="1"/>
  <c r="G245" i="2"/>
  <c r="F246" i="2"/>
  <c r="G246" i="2"/>
  <c r="H246" i="2"/>
  <c r="F247" i="2"/>
  <c r="G247" i="2"/>
  <c r="H247" i="2"/>
  <c r="F248" i="2"/>
  <c r="H248" i="2" s="1"/>
  <c r="G248" i="2"/>
  <c r="F249" i="2"/>
  <c r="H249" i="2" s="1"/>
  <c r="G249" i="2"/>
  <c r="F250" i="2"/>
  <c r="G250" i="2"/>
  <c r="H250" i="2"/>
  <c r="F251" i="2"/>
  <c r="G251" i="2"/>
  <c r="H251" i="2"/>
  <c r="F252" i="2"/>
  <c r="H252" i="2" s="1"/>
  <c r="G252" i="2"/>
  <c r="F253" i="2"/>
  <c r="H253" i="2" s="1"/>
  <c r="G253" i="2"/>
  <c r="F254" i="2"/>
  <c r="G254" i="2"/>
  <c r="H254" i="2"/>
  <c r="F255" i="2"/>
  <c r="G255" i="2"/>
  <c r="H255" i="2"/>
  <c r="F256" i="2"/>
  <c r="H256" i="2" s="1"/>
  <c r="G256" i="2"/>
  <c r="F257" i="2"/>
  <c r="H257" i="2" s="1"/>
  <c r="G257" i="2"/>
  <c r="F258" i="2"/>
  <c r="G258" i="2"/>
  <c r="H258" i="2"/>
  <c r="F259" i="2"/>
  <c r="G259" i="2"/>
  <c r="H259" i="2"/>
  <c r="F260" i="2"/>
  <c r="H260" i="2" s="1"/>
  <c r="G260" i="2"/>
  <c r="F261" i="2"/>
  <c r="H261" i="2" s="1"/>
  <c r="G261" i="2"/>
  <c r="F262" i="2"/>
  <c r="G262" i="2"/>
  <c r="H262" i="2"/>
  <c r="F263" i="2"/>
  <c r="G263" i="2"/>
  <c r="H263" i="2"/>
  <c r="F264" i="2"/>
  <c r="H264" i="2" s="1"/>
  <c r="G264" i="2"/>
  <c r="F265" i="2"/>
  <c r="H265" i="2" s="1"/>
  <c r="G265" i="2"/>
  <c r="F266" i="2"/>
  <c r="G266" i="2"/>
  <c r="H266" i="2"/>
  <c r="F267" i="2"/>
  <c r="G267" i="2"/>
  <c r="H267" i="2"/>
  <c r="F268" i="2"/>
  <c r="H268" i="2" s="1"/>
  <c r="G268" i="2"/>
  <c r="F269" i="2"/>
  <c r="H269" i="2" s="1"/>
  <c r="G269" i="2"/>
  <c r="F270" i="2"/>
  <c r="G270" i="2"/>
  <c r="H270" i="2"/>
  <c r="F271" i="2"/>
  <c r="G271" i="2"/>
  <c r="H271" i="2"/>
  <c r="F272" i="2"/>
  <c r="H272" i="2" s="1"/>
  <c r="G272" i="2"/>
  <c r="F273" i="2"/>
  <c r="H273" i="2" s="1"/>
  <c r="G273" i="2"/>
  <c r="F274" i="2"/>
  <c r="G274" i="2"/>
  <c r="H274" i="2"/>
  <c r="F275" i="2"/>
  <c r="G275" i="2"/>
  <c r="H275" i="2"/>
  <c r="F276" i="2"/>
  <c r="H276" i="2" s="1"/>
  <c r="G276" i="2"/>
  <c r="F277" i="2"/>
  <c r="H277" i="2" s="1"/>
  <c r="G277" i="2"/>
  <c r="F278" i="2"/>
  <c r="G278" i="2"/>
  <c r="H278" i="2"/>
  <c r="F279" i="2"/>
  <c r="G279" i="2"/>
  <c r="H279" i="2"/>
  <c r="F280" i="2"/>
  <c r="H280" i="2" s="1"/>
  <c r="G280" i="2"/>
  <c r="F281" i="2"/>
  <c r="H281" i="2" s="1"/>
  <c r="G281" i="2"/>
  <c r="F282" i="2"/>
  <c r="G282" i="2"/>
  <c r="H282" i="2"/>
  <c r="F283" i="2"/>
  <c r="G283" i="2"/>
  <c r="H283" i="2"/>
  <c r="F284" i="2"/>
  <c r="H284" i="2" s="1"/>
  <c r="G284" i="2"/>
  <c r="F285" i="2"/>
  <c r="H285" i="2" s="1"/>
  <c r="G285" i="2"/>
  <c r="F286" i="2"/>
  <c r="G286" i="2"/>
  <c r="H286" i="2"/>
  <c r="F287" i="2"/>
  <c r="G287" i="2"/>
  <c r="H287" i="2"/>
  <c r="F288" i="2"/>
  <c r="H288" i="2" s="1"/>
  <c r="G288" i="2"/>
  <c r="F289" i="2"/>
  <c r="H289" i="2" s="1"/>
  <c r="G289" i="2"/>
  <c r="F290" i="2"/>
  <c r="G290" i="2"/>
  <c r="H290" i="2"/>
  <c r="F291" i="2"/>
  <c r="G291" i="2"/>
  <c r="H291" i="2"/>
  <c r="F292" i="2"/>
  <c r="H292" i="2" s="1"/>
  <c r="G292" i="2"/>
  <c r="F293" i="2"/>
  <c r="H293" i="2" s="1"/>
  <c r="G293" i="2"/>
  <c r="F294" i="2"/>
  <c r="G294" i="2"/>
  <c r="H294" i="2"/>
  <c r="F295" i="2"/>
  <c r="G295" i="2"/>
  <c r="H295" i="2"/>
  <c r="F296" i="2"/>
  <c r="H296" i="2" s="1"/>
  <c r="G296" i="2"/>
  <c r="F297" i="2"/>
  <c r="H297" i="2" s="1"/>
  <c r="G297" i="2"/>
  <c r="F298" i="2"/>
  <c r="G298" i="2"/>
  <c r="H298" i="2"/>
  <c r="F299" i="2"/>
  <c r="G299" i="2"/>
  <c r="H299" i="2"/>
  <c r="F300" i="2"/>
  <c r="H300" i="2" s="1"/>
  <c r="G300" i="2"/>
  <c r="F301" i="2"/>
  <c r="H301" i="2" s="1"/>
  <c r="G301" i="2"/>
  <c r="F302" i="2"/>
  <c r="G302" i="2"/>
  <c r="H302" i="2"/>
  <c r="F303" i="2"/>
  <c r="G303" i="2"/>
  <c r="H303" i="2"/>
  <c r="F304" i="2"/>
  <c r="H304" i="2" s="1"/>
  <c r="G304" i="2"/>
  <c r="F305" i="2"/>
  <c r="H305" i="2" s="1"/>
  <c r="G305" i="2"/>
  <c r="F306" i="2"/>
  <c r="G306" i="2"/>
  <c r="H306" i="2"/>
  <c r="F307" i="2"/>
  <c r="G307" i="2"/>
  <c r="H307" i="2"/>
  <c r="F308" i="2"/>
  <c r="H308" i="2" s="1"/>
  <c r="G308" i="2"/>
  <c r="F309" i="2"/>
  <c r="H309" i="2" s="1"/>
  <c r="G309" i="2"/>
  <c r="F310" i="2"/>
  <c r="G310" i="2"/>
  <c r="H310" i="2"/>
  <c r="F311" i="2"/>
  <c r="G311" i="2"/>
  <c r="H311" i="2"/>
  <c r="F312" i="2"/>
  <c r="H312" i="2" s="1"/>
  <c r="G312" i="2"/>
  <c r="F313" i="2"/>
  <c r="H313" i="2" s="1"/>
  <c r="G313" i="2"/>
  <c r="F314" i="2"/>
  <c r="G314" i="2"/>
  <c r="H314" i="2"/>
  <c r="F315" i="2"/>
  <c r="G315" i="2"/>
  <c r="H315" i="2"/>
  <c r="F316" i="2"/>
  <c r="H316" i="2" s="1"/>
  <c r="G316" i="2"/>
  <c r="F317" i="2"/>
  <c r="H317" i="2" s="1"/>
  <c r="G317" i="2"/>
  <c r="F318" i="2"/>
  <c r="G318" i="2"/>
  <c r="H318" i="2"/>
  <c r="F319" i="2"/>
  <c r="G319" i="2"/>
  <c r="H319" i="2"/>
  <c r="F320" i="2"/>
  <c r="H320" i="2" s="1"/>
  <c r="G320" i="2"/>
  <c r="F321" i="2"/>
  <c r="H321" i="2" s="1"/>
  <c r="G321" i="2"/>
  <c r="F322" i="2"/>
  <c r="G322" i="2"/>
  <c r="H322" i="2"/>
  <c r="F323" i="2"/>
  <c r="G323" i="2"/>
  <c r="H323" i="2"/>
  <c r="F324" i="2"/>
  <c r="H324" i="2" s="1"/>
  <c r="G324" i="2"/>
  <c r="F325" i="2"/>
  <c r="H325" i="2" s="1"/>
  <c r="G325" i="2"/>
  <c r="F326" i="2"/>
  <c r="G326" i="2"/>
  <c r="H326" i="2"/>
  <c r="F327" i="2"/>
  <c r="G327" i="2"/>
  <c r="H327" i="2"/>
  <c r="F328" i="2"/>
  <c r="H328" i="2" s="1"/>
  <c r="G328" i="2"/>
  <c r="F329" i="2"/>
  <c r="H329" i="2" s="1"/>
  <c r="G329" i="2"/>
  <c r="F330" i="2"/>
  <c r="G330" i="2"/>
  <c r="H330" i="2"/>
  <c r="F331" i="2"/>
  <c r="G331" i="2"/>
  <c r="H331" i="2"/>
  <c r="F332" i="2"/>
  <c r="H332" i="2" s="1"/>
  <c r="G332" i="2"/>
  <c r="F333" i="2"/>
  <c r="H333" i="2" s="1"/>
  <c r="G333" i="2"/>
  <c r="F334" i="2"/>
  <c r="G334" i="2"/>
  <c r="H334" i="2"/>
  <c r="F335" i="2"/>
  <c r="G335" i="2"/>
  <c r="H335" i="2"/>
  <c r="F336" i="2"/>
  <c r="H336" i="2" s="1"/>
  <c r="G336" i="2"/>
  <c r="F337" i="2"/>
  <c r="H337" i="2" s="1"/>
  <c r="G337" i="2"/>
  <c r="F338" i="2"/>
  <c r="G338" i="2"/>
  <c r="H338" i="2"/>
  <c r="F339" i="2"/>
  <c r="G339" i="2"/>
  <c r="H339" i="2"/>
  <c r="F340" i="2"/>
  <c r="H340" i="2" s="1"/>
  <c r="G340" i="2"/>
  <c r="F341" i="2"/>
  <c r="H341" i="2" s="1"/>
  <c r="G341" i="2"/>
  <c r="F342" i="2"/>
  <c r="H342" i="2" s="1"/>
  <c r="G342" i="2"/>
  <c r="F343" i="2"/>
  <c r="G343" i="2"/>
  <c r="H343" i="2" s="1"/>
  <c r="F344" i="2"/>
  <c r="G344" i="2"/>
  <c r="H344" i="2"/>
  <c r="F345" i="2"/>
  <c r="H345" i="2" s="1"/>
  <c r="G345" i="2"/>
  <c r="F346" i="2"/>
  <c r="H346" i="2" s="1"/>
  <c r="G346" i="2"/>
  <c r="F347" i="2"/>
  <c r="G347" i="2"/>
  <c r="H347" i="2" s="1"/>
  <c r="F348" i="2"/>
  <c r="G348" i="2"/>
  <c r="H348" i="2"/>
  <c r="F349" i="2"/>
  <c r="H349" i="2" s="1"/>
  <c r="G349" i="2"/>
  <c r="F350" i="2"/>
  <c r="H350" i="2" s="1"/>
  <c r="G350" i="2"/>
  <c r="F351" i="2"/>
  <c r="G351" i="2"/>
  <c r="H351" i="2" s="1"/>
  <c r="F352" i="2"/>
  <c r="G352" i="2"/>
  <c r="H352" i="2"/>
  <c r="F353" i="2"/>
  <c r="H353" i="2" s="1"/>
  <c r="G353" i="2"/>
  <c r="F354" i="2"/>
  <c r="H354" i="2" s="1"/>
  <c r="G354" i="2"/>
  <c r="F355" i="2"/>
  <c r="G355" i="2"/>
  <c r="H355" i="2" s="1"/>
  <c r="F356" i="2"/>
  <c r="G356" i="2"/>
  <c r="H356" i="2"/>
  <c r="F357" i="2"/>
  <c r="H357" i="2" s="1"/>
  <c r="G357" i="2"/>
  <c r="F358" i="2"/>
  <c r="H358" i="2" s="1"/>
  <c r="G358" i="2"/>
  <c r="F359" i="2"/>
  <c r="G359" i="2"/>
  <c r="H359" i="2" s="1"/>
  <c r="F360" i="2"/>
  <c r="G360" i="2"/>
  <c r="H360" i="2"/>
  <c r="F361" i="2"/>
  <c r="H361" i="2" s="1"/>
  <c r="G361" i="2"/>
  <c r="F362" i="2"/>
  <c r="H362" i="2" s="1"/>
  <c r="G362" i="2"/>
  <c r="F363" i="2"/>
  <c r="G363" i="2"/>
  <c r="H363" i="2" s="1"/>
  <c r="F364" i="2"/>
  <c r="G364" i="2"/>
  <c r="H364" i="2"/>
  <c r="F365" i="2"/>
  <c r="H365" i="2" s="1"/>
  <c r="G365" i="2"/>
  <c r="F366" i="2"/>
  <c r="H366" i="2" s="1"/>
  <c r="G366" i="2"/>
  <c r="F367" i="2"/>
  <c r="G367" i="2"/>
  <c r="H367" i="2" s="1"/>
  <c r="F368" i="2"/>
  <c r="G368" i="2"/>
  <c r="H368" i="2"/>
  <c r="F369" i="2"/>
  <c r="H369" i="2" s="1"/>
  <c r="G369" i="2"/>
  <c r="F370" i="2"/>
  <c r="H370" i="2" s="1"/>
  <c r="G370" i="2"/>
  <c r="F371" i="2"/>
  <c r="G371" i="2"/>
  <c r="H371" i="2" s="1"/>
  <c r="F372" i="2"/>
  <c r="G372" i="2"/>
  <c r="H372" i="2"/>
  <c r="F373" i="2"/>
  <c r="H373" i="2" s="1"/>
  <c r="G373" i="2"/>
  <c r="F374" i="2"/>
  <c r="H374" i="2" s="1"/>
  <c r="G374" i="2"/>
  <c r="F375" i="2"/>
  <c r="G375" i="2"/>
  <c r="H375" i="2" s="1"/>
  <c r="F376" i="2"/>
  <c r="G376" i="2"/>
  <c r="H376" i="2"/>
  <c r="F377" i="2"/>
  <c r="H377" i="2" s="1"/>
  <c r="G377" i="2"/>
  <c r="F378" i="2"/>
  <c r="H378" i="2" s="1"/>
  <c r="G378" i="2"/>
  <c r="F379" i="2"/>
  <c r="G379" i="2"/>
  <c r="H379" i="2" s="1"/>
  <c r="F380" i="2"/>
  <c r="G380" i="2"/>
  <c r="H380" i="2"/>
  <c r="F381" i="2"/>
  <c r="H381" i="2" s="1"/>
  <c r="G381" i="2"/>
  <c r="F382" i="2"/>
  <c r="H382" i="2" s="1"/>
  <c r="G382" i="2"/>
  <c r="F383" i="2"/>
  <c r="G383" i="2"/>
  <c r="H383" i="2" s="1"/>
  <c r="F384" i="2"/>
  <c r="G384" i="2"/>
  <c r="H384" i="2"/>
  <c r="F385" i="2"/>
  <c r="H385" i="2" s="1"/>
  <c r="G385" i="2"/>
  <c r="F386" i="2"/>
  <c r="H386" i="2" s="1"/>
  <c r="G386" i="2"/>
  <c r="F387" i="2"/>
  <c r="G387" i="2"/>
  <c r="H387" i="2" s="1"/>
  <c r="F388" i="2"/>
  <c r="G388" i="2"/>
  <c r="H388" i="2"/>
  <c r="F389" i="2"/>
  <c r="H389" i="2" s="1"/>
  <c r="G389" i="2"/>
  <c r="F390" i="2"/>
  <c r="H390" i="2" s="1"/>
  <c r="G390" i="2"/>
  <c r="F391" i="2"/>
  <c r="G391" i="2"/>
  <c r="H391" i="2" s="1"/>
  <c r="F392" i="2"/>
  <c r="G392" i="2"/>
  <c r="H392" i="2"/>
  <c r="F393" i="2"/>
  <c r="H393" i="2" s="1"/>
  <c r="G393" i="2"/>
  <c r="F394" i="2"/>
  <c r="H394" i="2" s="1"/>
  <c r="G394" i="2"/>
  <c r="F395" i="2"/>
  <c r="G395" i="2"/>
  <c r="H395" i="2" s="1"/>
  <c r="F396" i="2"/>
  <c r="G396" i="2"/>
  <c r="H396" i="2"/>
  <c r="F397" i="2"/>
  <c r="H397" i="2" s="1"/>
  <c r="G397" i="2"/>
  <c r="F398" i="2"/>
  <c r="H398" i="2" s="1"/>
  <c r="G398" i="2"/>
  <c r="F399" i="2"/>
  <c r="G399" i="2"/>
  <c r="H399" i="2" s="1"/>
  <c r="F400" i="2"/>
  <c r="G400" i="2"/>
  <c r="H400" i="2"/>
  <c r="F401" i="2"/>
  <c r="H401" i="2" s="1"/>
  <c r="G401" i="2"/>
  <c r="F402" i="2"/>
  <c r="H402" i="2" s="1"/>
  <c r="G402" i="2"/>
  <c r="F403" i="2"/>
  <c r="G403" i="2"/>
  <c r="H403" i="2" s="1"/>
  <c r="F404" i="2"/>
  <c r="G404" i="2"/>
  <c r="H404" i="2"/>
  <c r="F405" i="2"/>
  <c r="H405" i="2" s="1"/>
  <c r="G405" i="2"/>
  <c r="F406" i="2"/>
  <c r="H406" i="2" s="1"/>
  <c r="G406" i="2"/>
  <c r="F407" i="2"/>
  <c r="G407" i="2"/>
  <c r="H407" i="2" s="1"/>
  <c r="F408" i="2"/>
  <c r="G408" i="2"/>
  <c r="H408" i="2"/>
  <c r="F409" i="2"/>
  <c r="H409" i="2" s="1"/>
  <c r="G409" i="2"/>
  <c r="F410" i="2"/>
  <c r="H410" i="2" s="1"/>
  <c r="G410" i="2"/>
  <c r="F411" i="2"/>
  <c r="G411" i="2"/>
  <c r="H411" i="2" s="1"/>
  <c r="F412" i="2"/>
  <c r="G412" i="2"/>
  <c r="H412" i="2"/>
  <c r="F413" i="2"/>
  <c r="H413" i="2" s="1"/>
  <c r="G413" i="2"/>
  <c r="F414" i="2"/>
  <c r="H414" i="2" s="1"/>
  <c r="G414" i="2"/>
  <c r="F415" i="2"/>
  <c r="G415" i="2"/>
  <c r="H415" i="2" s="1"/>
  <c r="F416" i="2"/>
  <c r="G416" i="2"/>
  <c r="H416" i="2"/>
  <c r="F417" i="2"/>
  <c r="H417" i="2" s="1"/>
  <c r="G417" i="2"/>
  <c r="F418" i="2"/>
  <c r="H418" i="2" s="1"/>
  <c r="G418" i="2"/>
  <c r="F419" i="2"/>
  <c r="G419" i="2"/>
  <c r="H419" i="2" s="1"/>
  <c r="F420" i="2"/>
  <c r="G420" i="2"/>
  <c r="H420" i="2"/>
  <c r="F421" i="2"/>
  <c r="H421" i="2" s="1"/>
  <c r="G421" i="2"/>
  <c r="F422" i="2"/>
  <c r="H422" i="2" s="1"/>
  <c r="G422" i="2"/>
  <c r="F423" i="2"/>
  <c r="G423" i="2"/>
  <c r="H423" i="2" s="1"/>
  <c r="F424" i="2"/>
  <c r="G424" i="2"/>
  <c r="H424" i="2"/>
  <c r="F425" i="2"/>
  <c r="H425" i="2" s="1"/>
  <c r="G425" i="2"/>
  <c r="F426" i="2"/>
  <c r="H426" i="2" s="1"/>
  <c r="G426" i="2"/>
  <c r="F427" i="2"/>
  <c r="G427" i="2"/>
  <c r="H427" i="2" s="1"/>
  <c r="F428" i="2"/>
  <c r="G428" i="2"/>
  <c r="H428" i="2"/>
  <c r="F429" i="2"/>
  <c r="H429" i="2" s="1"/>
  <c r="G429" i="2"/>
  <c r="F430" i="2"/>
  <c r="H430" i="2" s="1"/>
  <c r="G430" i="2"/>
  <c r="F431" i="2"/>
  <c r="G431" i="2"/>
  <c r="H431" i="2" s="1"/>
  <c r="F432" i="2"/>
  <c r="G432" i="2"/>
  <c r="H432" i="2"/>
  <c r="F433" i="2"/>
  <c r="H433" i="2" s="1"/>
  <c r="G433" i="2"/>
  <c r="F434" i="2"/>
  <c r="H434" i="2" s="1"/>
  <c r="G434" i="2"/>
  <c r="F435" i="2"/>
  <c r="G435" i="2"/>
  <c r="H435" i="2" s="1"/>
  <c r="F436" i="2"/>
  <c r="G436" i="2"/>
  <c r="H436" i="2"/>
  <c r="F437" i="2"/>
  <c r="H437" i="2" s="1"/>
  <c r="G437" i="2"/>
  <c r="F438" i="2"/>
  <c r="H438" i="2" s="1"/>
  <c r="G438" i="2"/>
  <c r="F439" i="2"/>
  <c r="G439" i="2"/>
  <c r="H439" i="2" s="1"/>
  <c r="F440" i="2"/>
  <c r="G440" i="2"/>
  <c r="H440" i="2"/>
  <c r="F441" i="2"/>
  <c r="H441" i="2" s="1"/>
  <c r="G441" i="2"/>
  <c r="F442" i="2"/>
  <c r="H442" i="2" s="1"/>
  <c r="G442" i="2"/>
  <c r="F443" i="2"/>
  <c r="G443" i="2"/>
  <c r="H443" i="2" s="1"/>
  <c r="F444" i="2"/>
  <c r="G444" i="2"/>
  <c r="H444" i="2"/>
  <c r="F445" i="2"/>
  <c r="H445" i="2" s="1"/>
  <c r="G445" i="2"/>
  <c r="F446" i="2"/>
  <c r="H446" i="2" s="1"/>
  <c r="G446" i="2"/>
  <c r="F447" i="2"/>
  <c r="G447" i="2"/>
  <c r="H447" i="2" s="1"/>
  <c r="F448" i="2"/>
  <c r="G448" i="2"/>
  <c r="H448" i="2"/>
  <c r="F449" i="2"/>
  <c r="H449" i="2" s="1"/>
  <c r="G449" i="2"/>
  <c r="F450" i="2"/>
  <c r="H450" i="2" s="1"/>
  <c r="G450" i="2"/>
  <c r="F451" i="2"/>
  <c r="G451" i="2"/>
  <c r="H451" i="2" s="1"/>
  <c r="F452" i="2"/>
  <c r="G452" i="2"/>
  <c r="H452" i="2"/>
  <c r="F453" i="2"/>
  <c r="H453" i="2" s="1"/>
  <c r="G453" i="2"/>
  <c r="F454" i="2"/>
  <c r="H454" i="2" s="1"/>
  <c r="G454" i="2"/>
  <c r="F455" i="2"/>
  <c r="G455" i="2"/>
  <c r="H455" i="2" s="1"/>
  <c r="F456" i="2"/>
  <c r="G456" i="2"/>
  <c r="H456" i="2"/>
  <c r="F457" i="2"/>
  <c r="H457" i="2" s="1"/>
  <c r="G457" i="2"/>
  <c r="F458" i="2"/>
  <c r="H458" i="2" s="1"/>
  <c r="G458" i="2"/>
  <c r="F459" i="2"/>
  <c r="G459" i="2"/>
  <c r="H459" i="2" s="1"/>
  <c r="F460" i="2"/>
  <c r="G460" i="2"/>
  <c r="H460" i="2"/>
  <c r="F461" i="2"/>
  <c r="H461" i="2" s="1"/>
  <c r="G461" i="2"/>
  <c r="F462" i="2"/>
  <c r="H462" i="2" s="1"/>
  <c r="G462" i="2"/>
  <c r="F463" i="2"/>
  <c r="G463" i="2"/>
  <c r="H463" i="2" s="1"/>
  <c r="F464" i="2"/>
  <c r="G464" i="2"/>
  <c r="H464" i="2"/>
  <c r="F465" i="2"/>
  <c r="H465" i="2" s="1"/>
  <c r="G465" i="2"/>
  <c r="F466" i="2"/>
  <c r="H466" i="2" s="1"/>
  <c r="G466" i="2"/>
  <c r="F467" i="2"/>
  <c r="G467" i="2"/>
  <c r="H467" i="2" s="1"/>
  <c r="F468" i="2"/>
  <c r="G468" i="2"/>
  <c r="H468" i="2"/>
  <c r="F469" i="2"/>
  <c r="H469" i="2" s="1"/>
  <c r="G469" i="2"/>
  <c r="F470" i="2"/>
  <c r="H470" i="2" s="1"/>
  <c r="G470" i="2"/>
  <c r="F471" i="2"/>
  <c r="G471" i="2"/>
  <c r="H471" i="2" s="1"/>
  <c r="F472" i="2"/>
  <c r="G472" i="2"/>
  <c r="H472" i="2"/>
  <c r="F473" i="2"/>
  <c r="H473" i="2" s="1"/>
  <c r="G473" i="2"/>
  <c r="F474" i="2"/>
  <c r="H474" i="2" s="1"/>
  <c r="G474" i="2"/>
  <c r="F475" i="2"/>
  <c r="G475" i="2"/>
  <c r="H475" i="2" s="1"/>
  <c r="F476" i="2"/>
  <c r="G476" i="2"/>
  <c r="H476" i="2"/>
  <c r="F477" i="2"/>
  <c r="H477" i="2" s="1"/>
  <c r="G477" i="2"/>
  <c r="F478" i="2"/>
  <c r="H478" i="2" s="1"/>
  <c r="G478" i="2"/>
  <c r="F479" i="2"/>
  <c r="G479" i="2"/>
  <c r="H479" i="2" s="1"/>
  <c r="F480" i="2"/>
  <c r="G480" i="2"/>
  <c r="H480" i="2"/>
  <c r="F481" i="2"/>
  <c r="H481" i="2" s="1"/>
  <c r="G481" i="2"/>
  <c r="F482" i="2"/>
  <c r="H482" i="2" s="1"/>
  <c r="G482" i="2"/>
  <c r="F483" i="2"/>
  <c r="G483" i="2"/>
  <c r="H483" i="2" s="1"/>
  <c r="F484" i="2"/>
  <c r="G484" i="2"/>
  <c r="H484" i="2"/>
  <c r="F485" i="2"/>
  <c r="H485" i="2" s="1"/>
  <c r="G485" i="2"/>
  <c r="F486" i="2"/>
  <c r="H486" i="2" s="1"/>
  <c r="G486" i="2"/>
  <c r="F487" i="2"/>
  <c r="G487" i="2"/>
  <c r="H487" i="2" s="1"/>
  <c r="F488" i="2"/>
  <c r="G488" i="2"/>
  <c r="H488" i="2"/>
  <c r="F489" i="2"/>
  <c r="H489" i="2" s="1"/>
  <c r="G489" i="2"/>
  <c r="F490" i="2"/>
  <c r="H490" i="2" s="1"/>
  <c r="G490" i="2"/>
  <c r="F491" i="2"/>
  <c r="G491" i="2"/>
  <c r="H491" i="2" s="1"/>
  <c r="F492" i="2"/>
  <c r="G492" i="2"/>
  <c r="H492" i="2"/>
  <c r="F493" i="2"/>
  <c r="H493" i="2" s="1"/>
  <c r="G493" i="2"/>
  <c r="F494" i="2"/>
  <c r="H494" i="2" s="1"/>
  <c r="G494" i="2"/>
  <c r="F495" i="2"/>
  <c r="G495" i="2"/>
  <c r="H495" i="2" s="1"/>
  <c r="F496" i="2"/>
  <c r="G496" i="2"/>
  <c r="H496" i="2"/>
  <c r="F497" i="2"/>
  <c r="H497" i="2" s="1"/>
  <c r="G497" i="2"/>
  <c r="F498" i="2"/>
  <c r="H498" i="2" s="1"/>
  <c r="G498" i="2"/>
  <c r="F499" i="2"/>
  <c r="G499" i="2"/>
  <c r="H499" i="2" s="1"/>
  <c r="F500" i="2"/>
  <c r="G500" i="2"/>
  <c r="H500" i="2"/>
  <c r="F501" i="2"/>
  <c r="H501" i="2" s="1"/>
  <c r="G501" i="2"/>
  <c r="F502" i="2"/>
  <c r="H502" i="2" s="1"/>
  <c r="G502" i="2"/>
  <c r="F503" i="2"/>
  <c r="G503" i="2"/>
  <c r="H503" i="2" s="1"/>
  <c r="F504" i="2"/>
  <c r="G504" i="2"/>
  <c r="H504" i="2"/>
  <c r="F505" i="2"/>
  <c r="H505" i="2" s="1"/>
  <c r="G505" i="2"/>
  <c r="F506" i="2"/>
  <c r="H506" i="2" s="1"/>
  <c r="G506" i="2"/>
  <c r="F507" i="2"/>
  <c r="G507" i="2"/>
  <c r="H507" i="2" s="1"/>
  <c r="F508" i="2"/>
  <c r="G508" i="2"/>
  <c r="H508" i="2"/>
  <c r="F509" i="2"/>
  <c r="H509" i="2" s="1"/>
  <c r="G509" i="2"/>
  <c r="F510" i="2"/>
  <c r="H510" i="2" s="1"/>
  <c r="G510" i="2"/>
  <c r="F511" i="2"/>
  <c r="G511" i="2"/>
  <c r="H511" i="2" s="1"/>
  <c r="F512" i="2"/>
  <c r="G512" i="2"/>
  <c r="H512" i="2"/>
  <c r="F513" i="2"/>
  <c r="H513" i="2" s="1"/>
  <c r="G513" i="2"/>
  <c r="F514" i="2"/>
  <c r="H514" i="2" s="1"/>
  <c r="G514" i="2"/>
  <c r="F515" i="2"/>
  <c r="G515" i="2"/>
  <c r="H515" i="2" s="1"/>
  <c r="F516" i="2"/>
  <c r="G516" i="2"/>
  <c r="H516" i="2"/>
  <c r="F517" i="2"/>
  <c r="H517" i="2" s="1"/>
  <c r="G517" i="2"/>
  <c r="F518" i="2"/>
  <c r="H518" i="2" s="1"/>
  <c r="G518" i="2"/>
  <c r="F519" i="2"/>
  <c r="G519" i="2"/>
  <c r="H519" i="2" s="1"/>
  <c r="F520" i="2"/>
  <c r="G520" i="2"/>
  <c r="H520" i="2"/>
  <c r="F521" i="2"/>
  <c r="H521" i="2" s="1"/>
  <c r="G521" i="2"/>
  <c r="F522" i="2"/>
  <c r="H522" i="2" s="1"/>
  <c r="G522" i="2"/>
  <c r="F523" i="2"/>
  <c r="G523" i="2"/>
  <c r="H523" i="2" s="1"/>
  <c r="F524" i="2"/>
  <c r="G524" i="2"/>
  <c r="H524" i="2"/>
  <c r="F525" i="2"/>
  <c r="H525" i="2" s="1"/>
  <c r="G525" i="2"/>
  <c r="F526" i="2"/>
  <c r="H526" i="2" s="1"/>
  <c r="G526" i="2"/>
  <c r="F527" i="2"/>
  <c r="G527" i="2"/>
  <c r="H527" i="2" s="1"/>
  <c r="F528" i="2"/>
  <c r="G528" i="2"/>
  <c r="H528" i="2"/>
  <c r="F529" i="2"/>
  <c r="H529" i="2" s="1"/>
  <c r="G529" i="2"/>
  <c r="F530" i="2"/>
  <c r="H530" i="2" s="1"/>
  <c r="G530" i="2"/>
  <c r="F531" i="2"/>
  <c r="G531" i="2"/>
  <c r="H531" i="2" s="1"/>
  <c r="F532" i="2"/>
  <c r="G532" i="2"/>
  <c r="H532" i="2"/>
  <c r="F533" i="2"/>
  <c r="H533" i="2" s="1"/>
  <c r="G533" i="2"/>
  <c r="F534" i="2"/>
  <c r="H534" i="2" s="1"/>
  <c r="G534" i="2"/>
  <c r="F535" i="2"/>
  <c r="G535" i="2"/>
  <c r="H535" i="2" s="1"/>
  <c r="F536" i="2"/>
  <c r="G536" i="2"/>
  <c r="H536" i="2"/>
  <c r="F537" i="2"/>
  <c r="H537" i="2" s="1"/>
  <c r="G537" i="2"/>
  <c r="F538" i="2"/>
  <c r="H538" i="2" s="1"/>
  <c r="G538" i="2"/>
  <c r="F539" i="2"/>
  <c r="G539" i="2"/>
  <c r="H539" i="2" s="1"/>
  <c r="F540" i="2"/>
  <c r="G540" i="2"/>
  <c r="H540" i="2"/>
  <c r="F541" i="2"/>
  <c r="H541" i="2" s="1"/>
  <c r="G541" i="2"/>
  <c r="F542" i="2"/>
  <c r="H542" i="2" s="1"/>
  <c r="G542" i="2"/>
  <c r="F543" i="2"/>
  <c r="G543" i="2"/>
  <c r="H543" i="2" s="1"/>
  <c r="F544" i="2"/>
  <c r="G544" i="2"/>
  <c r="H544" i="2"/>
  <c r="F545" i="2"/>
  <c r="H545" i="2" s="1"/>
  <c r="G545" i="2"/>
  <c r="F546" i="2"/>
  <c r="H546" i="2" s="1"/>
  <c r="G546" i="2"/>
  <c r="F547" i="2"/>
  <c r="G547" i="2"/>
  <c r="H547" i="2" s="1"/>
  <c r="F548" i="2"/>
  <c r="G548" i="2"/>
  <c r="H548" i="2"/>
  <c r="F549" i="2"/>
  <c r="H549" i="2" s="1"/>
  <c r="G549" i="2"/>
  <c r="F550" i="2"/>
  <c r="H550" i="2" s="1"/>
  <c r="G550" i="2"/>
  <c r="F551" i="2"/>
  <c r="G551" i="2"/>
  <c r="H551" i="2" s="1"/>
  <c r="F552" i="2"/>
  <c r="H552" i="2" s="1"/>
  <c r="G552" i="2"/>
  <c r="F553" i="2"/>
  <c r="G553" i="2"/>
  <c r="F554" i="2"/>
  <c r="H554" i="2" s="1"/>
  <c r="G554" i="2"/>
  <c r="F555" i="2"/>
  <c r="G555" i="2"/>
  <c r="H555" i="2" s="1"/>
  <c r="F556" i="2"/>
  <c r="G556" i="2"/>
  <c r="H556" i="2"/>
  <c r="F557" i="2"/>
  <c r="H557" i="2" s="1"/>
  <c r="G557" i="2"/>
  <c r="F558" i="2"/>
  <c r="G558" i="2"/>
  <c r="H558" i="2"/>
  <c r="F559" i="2"/>
  <c r="G559" i="2"/>
  <c r="H559" i="2" s="1"/>
  <c r="F560" i="2"/>
  <c r="H560" i="2" s="1"/>
  <c r="G560" i="2"/>
  <c r="F561" i="2"/>
  <c r="G561" i="2"/>
  <c r="F562" i="2"/>
  <c r="H562" i="2" s="1"/>
  <c r="G562" i="2"/>
  <c r="F563" i="2"/>
  <c r="G563" i="2"/>
  <c r="H563" i="2" s="1"/>
  <c r="F564" i="2"/>
  <c r="G564" i="2"/>
  <c r="H564" i="2"/>
  <c r="F565" i="2"/>
  <c r="H565" i="2" s="1"/>
  <c r="G565" i="2"/>
  <c r="F566" i="2"/>
  <c r="G566" i="2"/>
  <c r="H566" i="2"/>
  <c r="F567" i="2"/>
  <c r="G567" i="2"/>
  <c r="H567" i="2" s="1"/>
  <c r="F568" i="2"/>
  <c r="H568" i="2" s="1"/>
  <c r="G568" i="2"/>
  <c r="F569" i="2"/>
  <c r="G569" i="2"/>
  <c r="F570" i="2"/>
  <c r="H570" i="2" s="1"/>
  <c r="G570" i="2"/>
  <c r="F571" i="2"/>
  <c r="G571" i="2"/>
  <c r="H571" i="2" s="1"/>
  <c r="F572" i="2"/>
  <c r="G572" i="2"/>
  <c r="H572" i="2"/>
  <c r="F573" i="2"/>
  <c r="H573" i="2" s="1"/>
  <c r="G573" i="2"/>
  <c r="F574" i="2"/>
  <c r="G574" i="2"/>
  <c r="H574" i="2"/>
  <c r="F575" i="2"/>
  <c r="G575" i="2"/>
  <c r="H575" i="2" s="1"/>
  <c r="F576" i="2"/>
  <c r="H576" i="2" s="1"/>
  <c r="G576" i="2"/>
  <c r="F577" i="2"/>
  <c r="G577" i="2"/>
  <c r="F578" i="2"/>
  <c r="H578" i="2" s="1"/>
  <c r="G578" i="2"/>
  <c r="F579" i="2"/>
  <c r="G579" i="2"/>
  <c r="H579" i="2" s="1"/>
  <c r="F580" i="2"/>
  <c r="G580" i="2"/>
  <c r="H580" i="2"/>
  <c r="F581" i="2"/>
  <c r="H581" i="2" s="1"/>
  <c r="G581" i="2"/>
  <c r="F582" i="2"/>
  <c r="G582" i="2"/>
  <c r="H582" i="2"/>
  <c r="F583" i="2"/>
  <c r="G583" i="2"/>
  <c r="H583" i="2" s="1"/>
  <c r="F584" i="2"/>
  <c r="H584" i="2" s="1"/>
  <c r="G584" i="2"/>
  <c r="F585" i="2"/>
  <c r="G585" i="2"/>
  <c r="F586" i="2"/>
  <c r="H586" i="2" s="1"/>
  <c r="G586" i="2"/>
  <c r="F587" i="2"/>
  <c r="G587" i="2"/>
  <c r="H587" i="2" s="1"/>
  <c r="F588" i="2"/>
  <c r="G588" i="2"/>
  <c r="H588" i="2"/>
  <c r="F589" i="2"/>
  <c r="H589" i="2" s="1"/>
  <c r="G589" i="2"/>
  <c r="F590" i="2"/>
  <c r="G590" i="2"/>
  <c r="H590" i="2"/>
  <c r="F591" i="2"/>
  <c r="G591" i="2"/>
  <c r="H591" i="2" s="1"/>
  <c r="F592" i="2"/>
  <c r="H592" i="2" s="1"/>
  <c r="G592" i="2"/>
  <c r="F593" i="2"/>
  <c r="G593" i="2"/>
  <c r="F594" i="2"/>
  <c r="H594" i="2" s="1"/>
  <c r="G594" i="2"/>
  <c r="F595" i="2"/>
  <c r="G595" i="2"/>
  <c r="H595" i="2" s="1"/>
  <c r="F596" i="2"/>
  <c r="G596" i="2"/>
  <c r="H596" i="2"/>
  <c r="F597" i="2"/>
  <c r="H597" i="2" s="1"/>
  <c r="G597" i="2"/>
  <c r="F598" i="2"/>
  <c r="G598" i="2"/>
  <c r="H598" i="2"/>
  <c r="F599" i="2"/>
  <c r="G599" i="2"/>
  <c r="H599" i="2" s="1"/>
  <c r="F600" i="2"/>
  <c r="H600" i="2" s="1"/>
  <c r="G600" i="2"/>
  <c r="F601" i="2"/>
  <c r="H601" i="2" s="1"/>
  <c r="G601" i="2"/>
  <c r="F602" i="2"/>
  <c r="H602" i="2" s="1"/>
  <c r="G602" i="2"/>
  <c r="F603" i="2"/>
  <c r="G603" i="2"/>
  <c r="H603" i="2" s="1"/>
  <c r="F604" i="2"/>
  <c r="G604" i="2"/>
  <c r="H604" i="2"/>
  <c r="F605" i="2"/>
  <c r="H605" i="2" s="1"/>
  <c r="G605" i="2"/>
  <c r="F606" i="2"/>
  <c r="G606" i="2"/>
  <c r="H606" i="2"/>
  <c r="F607" i="2"/>
  <c r="G607" i="2"/>
  <c r="H607" i="2" s="1"/>
  <c r="F608" i="2"/>
  <c r="H608" i="2" s="1"/>
  <c r="G608" i="2"/>
  <c r="F609" i="2"/>
  <c r="H609" i="2" s="1"/>
  <c r="G609" i="2"/>
  <c r="F610" i="2"/>
  <c r="H610" i="2" s="1"/>
  <c r="G610" i="2"/>
  <c r="F611" i="2"/>
  <c r="G611" i="2"/>
  <c r="H611" i="2" s="1"/>
  <c r="F612" i="2"/>
  <c r="G612" i="2"/>
  <c r="H612" i="2"/>
  <c r="F613" i="2"/>
  <c r="H613" i="2" s="1"/>
  <c r="G613" i="2"/>
  <c r="F614" i="2"/>
  <c r="G614" i="2"/>
  <c r="H614" i="2"/>
  <c r="F615" i="2"/>
  <c r="G615" i="2"/>
  <c r="H615" i="2" s="1"/>
  <c r="F616" i="2"/>
  <c r="H616" i="2" s="1"/>
  <c r="G616" i="2"/>
  <c r="F617" i="2"/>
  <c r="H617" i="2" s="1"/>
  <c r="G617" i="2"/>
  <c r="F618" i="2"/>
  <c r="H618" i="2" s="1"/>
  <c r="G618" i="2"/>
  <c r="F619" i="2"/>
  <c r="G619" i="2"/>
  <c r="H619" i="2" s="1"/>
  <c r="F620" i="2"/>
  <c r="G620" i="2"/>
  <c r="H620" i="2"/>
  <c r="F621" i="2"/>
  <c r="H621" i="2" s="1"/>
  <c r="G621" i="2"/>
  <c r="F622" i="2"/>
  <c r="G622" i="2"/>
  <c r="H622" i="2"/>
  <c r="F623" i="2"/>
  <c r="G623" i="2"/>
  <c r="H623" i="2" s="1"/>
  <c r="F624" i="2"/>
  <c r="H624" i="2" s="1"/>
  <c r="G624" i="2"/>
  <c r="F625" i="2"/>
  <c r="H625" i="2" s="1"/>
  <c r="G625" i="2"/>
  <c r="F626" i="2"/>
  <c r="H626" i="2" s="1"/>
  <c r="G626" i="2"/>
  <c r="F627" i="2"/>
  <c r="G627" i="2"/>
  <c r="H627" i="2" s="1"/>
  <c r="F628" i="2"/>
  <c r="G628" i="2"/>
  <c r="H628" i="2"/>
  <c r="F629" i="2"/>
  <c r="H629" i="2" s="1"/>
  <c r="G629" i="2"/>
  <c r="F630" i="2"/>
  <c r="G630" i="2"/>
  <c r="H630" i="2"/>
  <c r="F631" i="2"/>
  <c r="G631" i="2"/>
  <c r="H631" i="2" s="1"/>
  <c r="F632" i="2"/>
  <c r="H632" i="2" s="1"/>
  <c r="G632" i="2"/>
  <c r="F633" i="2"/>
  <c r="G633" i="2"/>
  <c r="F634" i="2"/>
  <c r="G634" i="2"/>
  <c r="H634" i="2" s="1"/>
  <c r="F635" i="2"/>
  <c r="G635" i="2"/>
  <c r="H635" i="2"/>
  <c r="F636" i="2"/>
  <c r="H636" i="2" s="1"/>
  <c r="G636" i="2"/>
  <c r="F637" i="2"/>
  <c r="H637" i="2" s="1"/>
  <c r="G637" i="2"/>
  <c r="F638" i="2"/>
  <c r="H638" i="2" s="1"/>
  <c r="G638" i="2"/>
  <c r="F639" i="2"/>
  <c r="G639" i="2"/>
  <c r="H639" i="2" s="1"/>
  <c r="F640" i="2"/>
  <c r="G640" i="2"/>
  <c r="H640" i="2"/>
  <c r="F641" i="2"/>
  <c r="G641" i="2"/>
  <c r="F642" i="2"/>
  <c r="H642" i="2" s="1"/>
  <c r="G642" i="2"/>
  <c r="F643" i="2"/>
  <c r="G643" i="2"/>
  <c r="H643" i="2"/>
  <c r="F644" i="2"/>
  <c r="G644" i="2"/>
  <c r="H644" i="2"/>
  <c r="F645" i="2"/>
  <c r="H645" i="2" s="1"/>
  <c r="G645" i="2"/>
  <c r="F646" i="2"/>
  <c r="G646" i="2"/>
  <c r="H646" i="2"/>
  <c r="F647" i="2"/>
  <c r="G647" i="2"/>
  <c r="H647" i="2" s="1"/>
  <c r="F648" i="2"/>
  <c r="H648" i="2" s="1"/>
  <c r="G648" i="2"/>
  <c r="F649" i="2"/>
  <c r="G649" i="2"/>
  <c r="F650" i="2"/>
  <c r="G650" i="2"/>
  <c r="H650" i="2" s="1"/>
  <c r="F651" i="2"/>
  <c r="G651" i="2"/>
  <c r="H651" i="2"/>
  <c r="F652" i="2"/>
  <c r="H652" i="2" s="1"/>
  <c r="G652" i="2"/>
  <c r="F653" i="2"/>
  <c r="H653" i="2" s="1"/>
  <c r="G653" i="2"/>
  <c r="F654" i="2"/>
  <c r="H654" i="2" s="1"/>
  <c r="G654" i="2"/>
  <c r="F655" i="2"/>
  <c r="G655" i="2"/>
  <c r="H655" i="2" s="1"/>
  <c r="F656" i="2"/>
  <c r="G656" i="2"/>
  <c r="H656" i="2"/>
  <c r="F657" i="2"/>
  <c r="G657" i="2"/>
  <c r="F658" i="2"/>
  <c r="H658" i="2" s="1"/>
  <c r="G658" i="2"/>
  <c r="F659" i="2"/>
  <c r="G659" i="2"/>
  <c r="H659" i="2"/>
  <c r="F660" i="2"/>
  <c r="G660" i="2"/>
  <c r="H660" i="2"/>
  <c r="F661" i="2"/>
  <c r="H661" i="2" s="1"/>
  <c r="G661" i="2"/>
  <c r="F662" i="2"/>
  <c r="G662" i="2"/>
  <c r="H662" i="2"/>
  <c r="F663" i="2"/>
  <c r="G663" i="2"/>
  <c r="H663" i="2" s="1"/>
  <c r="F664" i="2"/>
  <c r="H664" i="2" s="1"/>
  <c r="G664" i="2"/>
  <c r="F665" i="2"/>
  <c r="G665" i="2"/>
  <c r="F666" i="2"/>
  <c r="G666" i="2"/>
  <c r="H666" i="2" s="1"/>
  <c r="F667" i="2"/>
  <c r="G667" i="2"/>
  <c r="H667" i="2"/>
  <c r="F668" i="2"/>
  <c r="H668" i="2" s="1"/>
  <c r="G668" i="2"/>
  <c r="F669" i="2"/>
  <c r="H669" i="2" s="1"/>
  <c r="G669" i="2"/>
  <c r="F670" i="2"/>
  <c r="H670" i="2" s="1"/>
  <c r="G670" i="2"/>
  <c r="F671" i="2"/>
  <c r="G671" i="2"/>
  <c r="H671" i="2" s="1"/>
  <c r="F672" i="2"/>
  <c r="G672" i="2"/>
  <c r="H672" i="2"/>
  <c r="F673" i="2"/>
  <c r="G673" i="2"/>
  <c r="F674" i="2"/>
  <c r="H674" i="2" s="1"/>
  <c r="G674" i="2"/>
  <c r="F675" i="2"/>
  <c r="G675" i="2"/>
  <c r="H675" i="2"/>
  <c r="F676" i="2"/>
  <c r="G676" i="2"/>
  <c r="H676" i="2"/>
  <c r="F677" i="2"/>
  <c r="H677" i="2" s="1"/>
  <c r="G677" i="2"/>
  <c r="F678" i="2"/>
  <c r="G678" i="2"/>
  <c r="H678" i="2"/>
  <c r="F679" i="2"/>
  <c r="G679" i="2"/>
  <c r="H679" i="2" s="1"/>
  <c r="F680" i="2"/>
  <c r="H680" i="2" s="1"/>
  <c r="G680" i="2"/>
  <c r="F681" i="2"/>
  <c r="G681" i="2"/>
  <c r="F682" i="2"/>
  <c r="G682" i="2"/>
  <c r="H682" i="2"/>
  <c r="F683" i="2"/>
  <c r="H683" i="2" s="1"/>
  <c r="G683" i="2"/>
  <c r="F684" i="2"/>
  <c r="H684" i="2" s="1"/>
  <c r="G684" i="2"/>
  <c r="F685" i="2"/>
  <c r="G685" i="2"/>
  <c r="H685" i="2"/>
  <c r="F686" i="2"/>
  <c r="G686" i="2"/>
  <c r="H686" i="2"/>
  <c r="F687" i="2"/>
  <c r="H687" i="2" s="1"/>
  <c r="G687" i="2"/>
  <c r="F688" i="2"/>
  <c r="H688" i="2" s="1"/>
  <c r="G688" i="2"/>
  <c r="F689" i="2"/>
  <c r="G689" i="2"/>
  <c r="H689" i="2"/>
  <c r="F690" i="2"/>
  <c r="G690" i="2"/>
  <c r="H690" i="2"/>
  <c r="F691" i="2"/>
  <c r="H691" i="2" s="1"/>
  <c r="G691" i="2"/>
  <c r="F692" i="2"/>
  <c r="H692" i="2" s="1"/>
  <c r="G692" i="2"/>
  <c r="F693" i="2"/>
  <c r="G693" i="2"/>
  <c r="H693" i="2"/>
  <c r="F694" i="2"/>
  <c r="G694" i="2"/>
  <c r="H694" i="2"/>
  <c r="F695" i="2"/>
  <c r="H695" i="2" s="1"/>
  <c r="G695" i="2"/>
  <c r="F696" i="2"/>
  <c r="H696" i="2" s="1"/>
  <c r="G696" i="2"/>
  <c r="F697" i="2"/>
  <c r="G697" i="2"/>
  <c r="H697" i="2"/>
  <c r="F698" i="2"/>
  <c r="G698" i="2"/>
  <c r="H698" i="2"/>
  <c r="F699" i="2"/>
  <c r="H699" i="2" s="1"/>
  <c r="G699" i="2"/>
  <c r="F700" i="2"/>
  <c r="H700" i="2" s="1"/>
  <c r="G700" i="2"/>
  <c r="F701" i="2"/>
  <c r="G701" i="2"/>
  <c r="H701" i="2"/>
  <c r="F702" i="2"/>
  <c r="G702" i="2"/>
  <c r="H702" i="2"/>
  <c r="F703" i="2"/>
  <c r="H703" i="2" s="1"/>
  <c r="G703" i="2"/>
  <c r="F704" i="2"/>
  <c r="H704" i="2" s="1"/>
  <c r="G704" i="2"/>
  <c r="F705" i="2"/>
  <c r="G705" i="2"/>
  <c r="H705" i="2"/>
  <c r="F706" i="2"/>
  <c r="G706" i="2"/>
  <c r="H706" i="2"/>
  <c r="F707" i="2"/>
  <c r="H707" i="2" s="1"/>
  <c r="G707" i="2"/>
  <c r="F708" i="2"/>
  <c r="H708" i="2" s="1"/>
  <c r="G708" i="2"/>
  <c r="F709" i="2"/>
  <c r="G709" i="2"/>
  <c r="H709" i="2"/>
  <c r="F710" i="2"/>
  <c r="G710" i="2"/>
  <c r="H710" i="2"/>
  <c r="F711" i="2"/>
  <c r="H711" i="2" s="1"/>
  <c r="G711" i="2"/>
  <c r="F712" i="2"/>
  <c r="H712" i="2" s="1"/>
  <c r="G712" i="2"/>
  <c r="F713" i="2"/>
  <c r="G713" i="2"/>
  <c r="H713" i="2"/>
  <c r="F714" i="2"/>
  <c r="G714" i="2"/>
  <c r="H714" i="2"/>
  <c r="F715" i="2"/>
  <c r="H715" i="2" s="1"/>
  <c r="G715" i="2"/>
  <c r="F716" i="2"/>
  <c r="H716" i="2" s="1"/>
  <c r="G716" i="2"/>
  <c r="F717" i="2"/>
  <c r="G717" i="2"/>
  <c r="H717" i="2"/>
  <c r="F718" i="2"/>
  <c r="G718" i="2"/>
  <c r="H718" i="2"/>
  <c r="F719" i="2"/>
  <c r="H719" i="2" s="1"/>
  <c r="G719" i="2"/>
  <c r="F720" i="2"/>
  <c r="H720" i="2" s="1"/>
  <c r="G720" i="2"/>
  <c r="F721" i="2"/>
  <c r="G721" i="2"/>
  <c r="H721" i="2"/>
  <c r="F722" i="2"/>
  <c r="G722" i="2"/>
  <c r="H722" i="2"/>
  <c r="F723" i="2"/>
  <c r="H723" i="2" s="1"/>
  <c r="G723" i="2"/>
  <c r="F724" i="2"/>
  <c r="H724" i="2" s="1"/>
  <c r="G724" i="2"/>
  <c r="F725" i="2"/>
  <c r="G725" i="2"/>
  <c r="H725" i="2"/>
  <c r="F726" i="2"/>
  <c r="G726" i="2"/>
  <c r="H726" i="2"/>
  <c r="F727" i="2"/>
  <c r="H727" i="2" s="1"/>
  <c r="G727" i="2"/>
  <c r="F728" i="2"/>
  <c r="H728" i="2" s="1"/>
  <c r="G728" i="2"/>
  <c r="F729" i="2"/>
  <c r="G729" i="2"/>
  <c r="H729" i="2"/>
  <c r="F730" i="2"/>
  <c r="G730" i="2"/>
  <c r="H730" i="2"/>
  <c r="F731" i="2"/>
  <c r="H731" i="2" s="1"/>
  <c r="G731" i="2"/>
  <c r="F732" i="2"/>
  <c r="H732" i="2" s="1"/>
  <c r="G732" i="2"/>
  <c r="F733" i="2"/>
  <c r="G733" i="2"/>
  <c r="H733" i="2"/>
  <c r="F734" i="2"/>
  <c r="G734" i="2"/>
  <c r="H734" i="2"/>
  <c r="F735" i="2"/>
  <c r="H735" i="2" s="1"/>
  <c r="G735" i="2"/>
  <c r="F736" i="2"/>
  <c r="H736" i="2" s="1"/>
  <c r="G736" i="2"/>
  <c r="F737" i="2"/>
  <c r="G737" i="2"/>
  <c r="H737" i="2"/>
  <c r="F738" i="2"/>
  <c r="G738" i="2"/>
  <c r="H738" i="2"/>
  <c r="F739" i="2"/>
  <c r="H739" i="2" s="1"/>
  <c r="G739" i="2"/>
  <c r="F740" i="2"/>
  <c r="H740" i="2" s="1"/>
  <c r="G740" i="2"/>
  <c r="F741" i="2"/>
  <c r="G741" i="2"/>
  <c r="H741" i="2"/>
  <c r="F742" i="2"/>
  <c r="G742" i="2"/>
  <c r="H742" i="2"/>
  <c r="F743" i="2"/>
  <c r="H743" i="2" s="1"/>
  <c r="G743" i="2"/>
  <c r="F744" i="2"/>
  <c r="H744" i="2" s="1"/>
  <c r="G744" i="2"/>
  <c r="F745" i="2"/>
  <c r="G745" i="2"/>
  <c r="H745" i="2"/>
  <c r="F746" i="2"/>
  <c r="G746" i="2"/>
  <c r="H746" i="2"/>
  <c r="F747" i="2"/>
  <c r="H747" i="2" s="1"/>
  <c r="G747" i="2"/>
  <c r="F748" i="2"/>
  <c r="H748" i="2" s="1"/>
  <c r="G748" i="2"/>
  <c r="F749" i="2"/>
  <c r="G749" i="2"/>
  <c r="H749" i="2"/>
  <c r="F750" i="2"/>
  <c r="G750" i="2"/>
  <c r="H750" i="2"/>
  <c r="F751" i="2"/>
  <c r="H751" i="2" s="1"/>
  <c r="G751" i="2"/>
  <c r="F752" i="2"/>
  <c r="H752" i="2" s="1"/>
  <c r="G752" i="2"/>
  <c r="F753" i="2"/>
  <c r="G753" i="2"/>
  <c r="H753" i="2"/>
  <c r="F754" i="2"/>
  <c r="G754" i="2"/>
  <c r="H754" i="2"/>
  <c r="F755" i="2"/>
  <c r="H755" i="2" s="1"/>
  <c r="G755" i="2"/>
  <c r="F756" i="2"/>
  <c r="H756" i="2" s="1"/>
  <c r="G756" i="2"/>
  <c r="F757" i="2"/>
  <c r="G757" i="2"/>
  <c r="H757" i="2"/>
  <c r="F758" i="2"/>
  <c r="G758" i="2"/>
  <c r="H758" i="2"/>
  <c r="F759" i="2"/>
  <c r="H759" i="2" s="1"/>
  <c r="G759" i="2"/>
  <c r="F760" i="2"/>
  <c r="H760" i="2" s="1"/>
  <c r="G760" i="2"/>
  <c r="F761" i="2"/>
  <c r="G761" i="2"/>
  <c r="H761" i="2"/>
  <c r="F762" i="2"/>
  <c r="G762" i="2"/>
  <c r="H762" i="2"/>
  <c r="F763" i="2"/>
  <c r="H763" i="2" s="1"/>
  <c r="G763" i="2"/>
  <c r="F764" i="2"/>
  <c r="H764" i="2" s="1"/>
  <c r="G764" i="2"/>
  <c r="F765" i="2"/>
  <c r="G765" i="2"/>
  <c r="H765" i="2"/>
  <c r="F766" i="2"/>
  <c r="G766" i="2"/>
  <c r="H766" i="2"/>
  <c r="F767" i="2"/>
  <c r="H767" i="2" s="1"/>
  <c r="G767" i="2"/>
  <c r="F768" i="2"/>
  <c r="H768" i="2" s="1"/>
  <c r="G768" i="2"/>
  <c r="F769" i="2"/>
  <c r="G769" i="2"/>
  <c r="H769" i="2"/>
  <c r="F770" i="2"/>
  <c r="G770" i="2"/>
  <c r="H770" i="2"/>
  <c r="F771" i="2"/>
  <c r="H771" i="2" s="1"/>
  <c r="G771" i="2"/>
  <c r="F772" i="2"/>
  <c r="H772" i="2" s="1"/>
  <c r="G772" i="2"/>
  <c r="F773" i="2"/>
  <c r="G773" i="2"/>
  <c r="H773" i="2"/>
  <c r="F774" i="2"/>
  <c r="G774" i="2"/>
  <c r="H774" i="2"/>
  <c r="F775" i="2"/>
  <c r="H775" i="2" s="1"/>
  <c r="G775" i="2"/>
  <c r="F776" i="2"/>
  <c r="H776" i="2" s="1"/>
  <c r="G776" i="2"/>
  <c r="F777" i="2"/>
  <c r="G777" i="2"/>
  <c r="H777" i="2"/>
  <c r="F778" i="2"/>
  <c r="G778" i="2"/>
  <c r="H778" i="2"/>
  <c r="F779" i="2"/>
  <c r="H779" i="2" s="1"/>
  <c r="G779" i="2"/>
  <c r="F780" i="2"/>
  <c r="H780" i="2" s="1"/>
  <c r="G780" i="2"/>
  <c r="F781" i="2"/>
  <c r="G781" i="2"/>
  <c r="H781" i="2"/>
  <c r="F782" i="2"/>
  <c r="G782" i="2"/>
  <c r="H782" i="2"/>
  <c r="F783" i="2"/>
  <c r="H783" i="2" s="1"/>
  <c r="G783" i="2"/>
  <c r="F784" i="2"/>
  <c r="H784" i="2" s="1"/>
  <c r="G784" i="2"/>
  <c r="F785" i="2"/>
  <c r="G785" i="2"/>
  <c r="H785" i="2"/>
  <c r="F786" i="2"/>
  <c r="G786" i="2"/>
  <c r="H786" i="2"/>
  <c r="F787" i="2"/>
  <c r="H787" i="2" s="1"/>
  <c r="G787" i="2"/>
  <c r="F788" i="2"/>
  <c r="H788" i="2" s="1"/>
  <c r="G788" i="2"/>
  <c r="F789" i="2"/>
  <c r="G789" i="2"/>
  <c r="H789" i="2"/>
  <c r="F790" i="2"/>
  <c r="G790" i="2"/>
  <c r="H790" i="2"/>
  <c r="F791" i="2"/>
  <c r="H791" i="2" s="1"/>
  <c r="G791" i="2"/>
  <c r="F792" i="2"/>
  <c r="H792" i="2" s="1"/>
  <c r="G792" i="2"/>
  <c r="F793" i="2"/>
  <c r="G793" i="2"/>
  <c r="H793" i="2"/>
  <c r="F794" i="2"/>
  <c r="G794" i="2"/>
  <c r="H794" i="2"/>
  <c r="F795" i="2"/>
  <c r="H795" i="2" s="1"/>
  <c r="G795" i="2"/>
  <c r="F796" i="2"/>
  <c r="H796" i="2" s="1"/>
  <c r="G796" i="2"/>
  <c r="F797" i="2"/>
  <c r="G797" i="2"/>
  <c r="H797" i="2"/>
  <c r="F798" i="2"/>
  <c r="G798" i="2"/>
  <c r="H798" i="2"/>
  <c r="F799" i="2"/>
  <c r="H799" i="2" s="1"/>
  <c r="G799" i="2"/>
  <c r="F800" i="2"/>
  <c r="H800" i="2" s="1"/>
  <c r="G800" i="2"/>
  <c r="F801" i="2"/>
  <c r="G801" i="2"/>
  <c r="H801" i="2"/>
  <c r="F802" i="2"/>
  <c r="G802" i="2"/>
  <c r="H802" i="2"/>
  <c r="F803" i="2"/>
  <c r="H803" i="2" s="1"/>
  <c r="G803" i="2"/>
  <c r="F804" i="2"/>
  <c r="H804" i="2" s="1"/>
  <c r="G804" i="2"/>
  <c r="F805" i="2"/>
  <c r="G805" i="2"/>
  <c r="H805" i="2"/>
  <c r="F806" i="2"/>
  <c r="G806" i="2"/>
  <c r="H806" i="2"/>
  <c r="F807" i="2"/>
  <c r="H807" i="2" s="1"/>
  <c r="G807" i="2"/>
  <c r="F808" i="2"/>
  <c r="H808" i="2" s="1"/>
  <c r="G808" i="2"/>
  <c r="F809" i="2"/>
  <c r="G809" i="2"/>
  <c r="H809" i="2"/>
  <c r="F810" i="2"/>
  <c r="G810" i="2"/>
  <c r="H810" i="2"/>
  <c r="F811" i="2"/>
  <c r="H811" i="2" s="1"/>
  <c r="G811" i="2"/>
  <c r="F812" i="2"/>
  <c r="H812" i="2" s="1"/>
  <c r="G812" i="2"/>
  <c r="F813" i="2"/>
  <c r="G813" i="2"/>
  <c r="H813" i="2"/>
  <c r="F814" i="2"/>
  <c r="G814" i="2"/>
  <c r="H814" i="2"/>
  <c r="F815" i="2"/>
  <c r="H815" i="2" s="1"/>
  <c r="G815" i="2"/>
  <c r="F816" i="2"/>
  <c r="H816" i="2" s="1"/>
  <c r="G816" i="2"/>
  <c r="F817" i="2"/>
  <c r="G817" i="2"/>
  <c r="H817" i="2"/>
  <c r="F818" i="2"/>
  <c r="G818" i="2"/>
  <c r="H818" i="2"/>
  <c r="F819" i="2"/>
  <c r="H819" i="2" s="1"/>
  <c r="G819" i="2"/>
  <c r="F820" i="2"/>
  <c r="H820" i="2" s="1"/>
  <c r="G820" i="2"/>
  <c r="F821" i="2"/>
  <c r="G821" i="2"/>
  <c r="H821" i="2"/>
  <c r="F822" i="2"/>
  <c r="G822" i="2"/>
  <c r="H822" i="2"/>
  <c r="F823" i="2"/>
  <c r="H823" i="2" s="1"/>
  <c r="G823" i="2"/>
  <c r="F824" i="2"/>
  <c r="H824" i="2" s="1"/>
  <c r="G824" i="2"/>
  <c r="F825" i="2"/>
  <c r="G825" i="2"/>
  <c r="H825" i="2"/>
  <c r="F826" i="2"/>
  <c r="G826" i="2"/>
  <c r="H826" i="2"/>
  <c r="F827" i="2"/>
  <c r="H827" i="2" s="1"/>
  <c r="G827" i="2"/>
  <c r="F828" i="2"/>
  <c r="H828" i="2" s="1"/>
  <c r="G828" i="2"/>
  <c r="F829" i="2"/>
  <c r="G829" i="2"/>
  <c r="H829" i="2"/>
  <c r="F830" i="2"/>
  <c r="G830" i="2"/>
  <c r="H830" i="2"/>
  <c r="F831" i="2"/>
  <c r="H831" i="2" s="1"/>
  <c r="G831" i="2"/>
  <c r="F832" i="2"/>
  <c r="H832" i="2" s="1"/>
  <c r="G832" i="2"/>
  <c r="F833" i="2"/>
  <c r="G833" i="2"/>
  <c r="H833" i="2"/>
  <c r="F834" i="2"/>
  <c r="G834" i="2"/>
  <c r="H834" i="2"/>
  <c r="F835" i="2"/>
  <c r="H835" i="2" s="1"/>
  <c r="G835" i="2"/>
  <c r="F836" i="2"/>
  <c r="H836" i="2" s="1"/>
  <c r="G836" i="2"/>
  <c r="F837" i="2"/>
  <c r="G837" i="2"/>
  <c r="H837" i="2"/>
  <c r="F838" i="2"/>
  <c r="G838" i="2"/>
  <c r="H838" i="2"/>
  <c r="F839" i="2"/>
  <c r="H839" i="2" s="1"/>
  <c r="G839" i="2"/>
  <c r="F840" i="2"/>
  <c r="H840" i="2" s="1"/>
  <c r="G840" i="2"/>
  <c r="F841" i="2"/>
  <c r="G841" i="2"/>
  <c r="H841" i="2"/>
  <c r="F842" i="2"/>
  <c r="G842" i="2"/>
  <c r="H842" i="2"/>
  <c r="F843" i="2"/>
  <c r="H843" i="2" s="1"/>
  <c r="G843" i="2"/>
  <c r="F844" i="2"/>
  <c r="H844" i="2" s="1"/>
  <c r="G844" i="2"/>
  <c r="F845" i="2"/>
  <c r="G845" i="2"/>
  <c r="H845" i="2"/>
  <c r="F846" i="2"/>
  <c r="G846" i="2"/>
  <c r="H846" i="2"/>
  <c r="F847" i="2"/>
  <c r="H847" i="2" s="1"/>
  <c r="G847" i="2"/>
  <c r="F848" i="2"/>
  <c r="H848" i="2" s="1"/>
  <c r="G848" i="2"/>
  <c r="F849" i="2"/>
  <c r="G849" i="2"/>
  <c r="H849" i="2"/>
  <c r="F850" i="2"/>
  <c r="G850" i="2"/>
  <c r="H850" i="2"/>
  <c r="F851" i="2"/>
  <c r="H851" i="2" s="1"/>
  <c r="G851" i="2"/>
  <c r="F852" i="2"/>
  <c r="H852" i="2" s="1"/>
  <c r="G852" i="2"/>
  <c r="F853" i="2"/>
  <c r="G853" i="2"/>
  <c r="H853" i="2"/>
  <c r="F854" i="2"/>
  <c r="G854" i="2"/>
  <c r="H854" i="2"/>
  <c r="F855" i="2"/>
  <c r="H855" i="2" s="1"/>
  <c r="G855" i="2"/>
  <c r="F856" i="2"/>
  <c r="H856" i="2" s="1"/>
  <c r="G856" i="2"/>
  <c r="F857" i="2"/>
  <c r="G857" i="2"/>
  <c r="H857" i="2"/>
  <c r="F858" i="2"/>
  <c r="G858" i="2"/>
  <c r="H858" i="2"/>
  <c r="F859" i="2"/>
  <c r="H859" i="2" s="1"/>
  <c r="G859" i="2"/>
  <c r="F860" i="2"/>
  <c r="H860" i="2" s="1"/>
  <c r="G860" i="2"/>
  <c r="F861" i="2"/>
  <c r="G861" i="2"/>
  <c r="H861" i="2"/>
  <c r="F862" i="2"/>
  <c r="G862" i="2"/>
  <c r="H862" i="2"/>
  <c r="F863" i="2"/>
  <c r="H863" i="2" s="1"/>
  <c r="G863" i="2"/>
  <c r="F864" i="2"/>
  <c r="H864" i="2" s="1"/>
  <c r="G864" i="2"/>
  <c r="F865" i="2"/>
  <c r="G865" i="2"/>
  <c r="H865" i="2"/>
  <c r="F866" i="2"/>
  <c r="G866" i="2"/>
  <c r="H866" i="2"/>
  <c r="F867" i="2"/>
  <c r="H867" i="2" s="1"/>
  <c r="G867" i="2"/>
  <c r="F868" i="2"/>
  <c r="H868" i="2" s="1"/>
  <c r="G868" i="2"/>
  <c r="F869" i="2"/>
  <c r="G869" i="2"/>
  <c r="H869" i="2"/>
  <c r="F870" i="2"/>
  <c r="G870" i="2"/>
  <c r="H870" i="2"/>
  <c r="F871" i="2"/>
  <c r="H871" i="2" s="1"/>
  <c r="G871" i="2"/>
  <c r="F872" i="2"/>
  <c r="H872" i="2" s="1"/>
  <c r="G872" i="2"/>
  <c r="F873" i="2"/>
  <c r="G873" i="2"/>
  <c r="H873" i="2"/>
  <c r="F874" i="2"/>
  <c r="G874" i="2"/>
  <c r="H874" i="2"/>
  <c r="F875" i="2"/>
  <c r="H875" i="2" s="1"/>
  <c r="G875" i="2"/>
  <c r="F876" i="2"/>
  <c r="H876" i="2" s="1"/>
  <c r="G876" i="2"/>
  <c r="F877" i="2"/>
  <c r="G877" i="2"/>
  <c r="H877" i="2"/>
  <c r="F878" i="2"/>
  <c r="G878" i="2"/>
  <c r="H878" i="2"/>
  <c r="F879" i="2"/>
  <c r="H879" i="2" s="1"/>
  <c r="G879" i="2"/>
  <c r="F880" i="2"/>
  <c r="H880" i="2" s="1"/>
  <c r="G880" i="2"/>
  <c r="F881" i="2"/>
  <c r="G881" i="2"/>
  <c r="H881" i="2"/>
  <c r="F882" i="2"/>
  <c r="G882" i="2"/>
  <c r="H882" i="2"/>
  <c r="F883" i="2"/>
  <c r="H883" i="2" s="1"/>
  <c r="G883" i="2"/>
  <c r="F884" i="2"/>
  <c r="H884" i="2" s="1"/>
  <c r="G884" i="2"/>
  <c r="F885" i="2"/>
  <c r="G885" i="2"/>
  <c r="H885" i="2"/>
  <c r="F886" i="2"/>
  <c r="G886" i="2"/>
  <c r="H886" i="2"/>
  <c r="F887" i="2"/>
  <c r="H887" i="2" s="1"/>
  <c r="G887" i="2"/>
  <c r="F888" i="2"/>
  <c r="H888" i="2" s="1"/>
  <c r="G888" i="2"/>
  <c r="F889" i="2"/>
  <c r="G889" i="2"/>
  <c r="H889" i="2"/>
  <c r="F890" i="2"/>
  <c r="G890" i="2"/>
  <c r="H890" i="2"/>
  <c r="F891" i="2"/>
  <c r="H891" i="2" s="1"/>
  <c r="G891" i="2"/>
  <c r="F892" i="2"/>
  <c r="H892" i="2" s="1"/>
  <c r="G892" i="2"/>
  <c r="F893" i="2"/>
  <c r="G893" i="2"/>
  <c r="H893" i="2"/>
  <c r="F894" i="2"/>
  <c r="G894" i="2"/>
  <c r="H894" i="2"/>
  <c r="F895" i="2"/>
  <c r="H895" i="2" s="1"/>
  <c r="G895" i="2"/>
  <c r="F896" i="2"/>
  <c r="H896" i="2" s="1"/>
  <c r="G896" i="2"/>
  <c r="F897" i="2"/>
  <c r="G897" i="2"/>
  <c r="H897" i="2"/>
  <c r="F898" i="2"/>
  <c r="G898" i="2"/>
  <c r="H898" i="2"/>
  <c r="F899" i="2"/>
  <c r="H899" i="2" s="1"/>
  <c r="G899" i="2"/>
  <c r="F900" i="2"/>
  <c r="H900" i="2" s="1"/>
  <c r="G900" i="2"/>
  <c r="F901" i="2"/>
  <c r="G901" i="2"/>
  <c r="H901" i="2"/>
  <c r="F902" i="2"/>
  <c r="G902" i="2"/>
  <c r="H902" i="2"/>
  <c r="F903" i="2"/>
  <c r="H903" i="2" s="1"/>
  <c r="G903" i="2"/>
  <c r="F904" i="2"/>
  <c r="H904" i="2" s="1"/>
  <c r="G904" i="2"/>
  <c r="F905" i="2"/>
  <c r="G905" i="2"/>
  <c r="H905" i="2"/>
  <c r="F906" i="2"/>
  <c r="G906" i="2"/>
  <c r="H906" i="2"/>
  <c r="F907" i="2"/>
  <c r="H907" i="2" s="1"/>
  <c r="G907" i="2"/>
  <c r="F908" i="2"/>
  <c r="H908" i="2" s="1"/>
  <c r="G908" i="2"/>
  <c r="F909" i="2"/>
  <c r="G909" i="2"/>
  <c r="H909" i="2"/>
  <c r="F910" i="2"/>
  <c r="G910" i="2"/>
  <c r="H910" i="2"/>
  <c r="F911" i="2"/>
  <c r="H911" i="2" s="1"/>
  <c r="G911" i="2"/>
  <c r="F912" i="2"/>
  <c r="H912" i="2" s="1"/>
  <c r="G912" i="2"/>
  <c r="F913" i="2"/>
  <c r="G913" i="2"/>
  <c r="H913" i="2"/>
  <c r="F914" i="2"/>
  <c r="G914" i="2"/>
  <c r="H914" i="2"/>
  <c r="F915" i="2"/>
  <c r="H915" i="2" s="1"/>
  <c r="G915" i="2"/>
  <c r="F916" i="2"/>
  <c r="H916" i="2" s="1"/>
  <c r="G916" i="2"/>
  <c r="F917" i="2"/>
  <c r="G917" i="2"/>
  <c r="H917" i="2"/>
  <c r="F918" i="2"/>
  <c r="G918" i="2"/>
  <c r="H918" i="2"/>
  <c r="F919" i="2"/>
  <c r="H919" i="2" s="1"/>
  <c r="G919" i="2"/>
  <c r="F920" i="2"/>
  <c r="H920" i="2" s="1"/>
  <c r="G920" i="2"/>
  <c r="F921" i="2"/>
  <c r="G921" i="2"/>
  <c r="H921" i="2"/>
  <c r="F922" i="2"/>
  <c r="G922" i="2"/>
  <c r="H922" i="2"/>
  <c r="F923" i="2"/>
  <c r="H923" i="2" s="1"/>
  <c r="G923" i="2"/>
  <c r="F924" i="2"/>
  <c r="H924" i="2" s="1"/>
  <c r="G924" i="2"/>
  <c r="F925" i="2"/>
  <c r="G925" i="2"/>
  <c r="H925" i="2"/>
  <c r="F926" i="2"/>
  <c r="G926" i="2"/>
  <c r="H926" i="2"/>
  <c r="F927" i="2"/>
  <c r="H927" i="2" s="1"/>
  <c r="G927" i="2"/>
  <c r="F928" i="2"/>
  <c r="H928" i="2" s="1"/>
  <c r="G928" i="2"/>
  <c r="F929" i="2"/>
  <c r="G929" i="2"/>
  <c r="H929" i="2"/>
  <c r="F930" i="2"/>
  <c r="G930" i="2"/>
  <c r="H930" i="2"/>
  <c r="F931" i="2"/>
  <c r="H931" i="2" s="1"/>
  <c r="G931" i="2"/>
  <c r="F932" i="2"/>
  <c r="H932" i="2" s="1"/>
  <c r="G932" i="2"/>
  <c r="F933" i="2"/>
  <c r="G933" i="2"/>
  <c r="H933" i="2"/>
  <c r="F934" i="2"/>
  <c r="G934" i="2"/>
  <c r="H934" i="2"/>
  <c r="F935" i="2"/>
  <c r="H935" i="2" s="1"/>
  <c r="G935" i="2"/>
  <c r="F936" i="2"/>
  <c r="H936" i="2" s="1"/>
  <c r="G936" i="2"/>
  <c r="F937" i="2"/>
  <c r="G937" i="2"/>
  <c r="H937" i="2"/>
  <c r="F938" i="2"/>
  <c r="G938" i="2"/>
  <c r="H938" i="2"/>
  <c r="F939" i="2"/>
  <c r="H939" i="2" s="1"/>
  <c r="G939" i="2"/>
  <c r="F940" i="2"/>
  <c r="H940" i="2" s="1"/>
  <c r="G940" i="2"/>
  <c r="F941" i="2"/>
  <c r="G941" i="2"/>
  <c r="H941" i="2"/>
  <c r="F942" i="2"/>
  <c r="G942" i="2"/>
  <c r="H942" i="2"/>
  <c r="F943" i="2"/>
  <c r="H943" i="2" s="1"/>
  <c r="G943" i="2"/>
  <c r="F944" i="2"/>
  <c r="H944" i="2" s="1"/>
  <c r="G944" i="2"/>
  <c r="F945" i="2"/>
  <c r="G945" i="2"/>
  <c r="H945" i="2"/>
  <c r="F946" i="2"/>
  <c r="G946" i="2"/>
  <c r="H946" i="2"/>
  <c r="F947" i="2"/>
  <c r="H947" i="2" s="1"/>
  <c r="G947" i="2"/>
  <c r="F948" i="2"/>
  <c r="H948" i="2" s="1"/>
  <c r="G948" i="2"/>
  <c r="F949" i="2"/>
  <c r="G949" i="2"/>
  <c r="H949" i="2"/>
  <c r="F950" i="2"/>
  <c r="G950" i="2"/>
  <c r="H950" i="2"/>
  <c r="F951" i="2"/>
  <c r="H951" i="2" s="1"/>
  <c r="G951" i="2"/>
  <c r="F952" i="2"/>
  <c r="H952" i="2" s="1"/>
  <c r="G952" i="2"/>
  <c r="F953" i="2"/>
  <c r="G953" i="2"/>
  <c r="H953" i="2"/>
  <c r="F954" i="2"/>
  <c r="G954" i="2"/>
  <c r="H954" i="2"/>
  <c r="F955" i="2"/>
  <c r="H955" i="2" s="1"/>
  <c r="G955" i="2"/>
  <c r="F956" i="2"/>
  <c r="H956" i="2" s="1"/>
  <c r="G956" i="2"/>
  <c r="F957" i="2"/>
  <c r="G957" i="2"/>
  <c r="H957" i="2"/>
  <c r="F958" i="2"/>
  <c r="G958" i="2"/>
  <c r="H958" i="2"/>
  <c r="F959" i="2"/>
  <c r="H959" i="2" s="1"/>
  <c r="G959" i="2"/>
  <c r="F960" i="2"/>
  <c r="H960" i="2" s="1"/>
  <c r="G960" i="2"/>
  <c r="F961" i="2"/>
  <c r="G961" i="2"/>
  <c r="H961" i="2"/>
  <c r="F962" i="2"/>
  <c r="G962" i="2"/>
  <c r="H962" i="2"/>
  <c r="F963" i="2"/>
  <c r="H963" i="2" s="1"/>
  <c r="G963" i="2"/>
  <c r="F964" i="2"/>
  <c r="H964" i="2" s="1"/>
  <c r="G964" i="2"/>
  <c r="F965" i="2"/>
  <c r="G965" i="2"/>
  <c r="H965" i="2"/>
  <c r="F966" i="2"/>
  <c r="G966" i="2"/>
  <c r="H966" i="2"/>
  <c r="F967" i="2"/>
  <c r="H967" i="2" s="1"/>
  <c r="G967" i="2"/>
  <c r="F968" i="2"/>
  <c r="H968" i="2" s="1"/>
  <c r="G968" i="2"/>
  <c r="F969" i="2"/>
  <c r="G969" i="2"/>
  <c r="H969" i="2"/>
  <c r="F970" i="2"/>
  <c r="G970" i="2"/>
  <c r="H970" i="2"/>
  <c r="F971" i="2"/>
  <c r="H971" i="2" s="1"/>
  <c r="G971" i="2"/>
  <c r="F972" i="2"/>
  <c r="H972" i="2" s="1"/>
  <c r="G972" i="2"/>
  <c r="F973" i="2"/>
  <c r="G973" i="2"/>
  <c r="H973" i="2"/>
  <c r="F974" i="2"/>
  <c r="G974" i="2"/>
  <c r="H974" i="2"/>
  <c r="F975" i="2"/>
  <c r="H975" i="2" s="1"/>
  <c r="G975" i="2"/>
  <c r="F976" i="2"/>
  <c r="H976" i="2" s="1"/>
  <c r="G976" i="2"/>
  <c r="F977" i="2"/>
  <c r="G977" i="2"/>
  <c r="H977" i="2"/>
  <c r="F978" i="2"/>
  <c r="G978" i="2"/>
  <c r="H978" i="2"/>
  <c r="F979" i="2"/>
  <c r="H979" i="2" s="1"/>
  <c r="G979" i="2"/>
  <c r="F980" i="2"/>
  <c r="H980" i="2" s="1"/>
  <c r="G980" i="2"/>
  <c r="F981" i="2"/>
  <c r="G981" i="2"/>
  <c r="H981" i="2"/>
  <c r="F982" i="2"/>
  <c r="G982" i="2"/>
  <c r="H982" i="2"/>
  <c r="F983" i="2"/>
  <c r="H983" i="2" s="1"/>
  <c r="G983" i="2"/>
  <c r="F984" i="2"/>
  <c r="H984" i="2" s="1"/>
  <c r="G984" i="2"/>
  <c r="F985" i="2"/>
  <c r="G985" i="2"/>
  <c r="H985" i="2"/>
  <c r="F986" i="2"/>
  <c r="G986" i="2"/>
  <c r="H986" i="2"/>
  <c r="F987" i="2"/>
  <c r="H987" i="2" s="1"/>
  <c r="G987" i="2"/>
  <c r="F988" i="2"/>
  <c r="H988" i="2" s="1"/>
  <c r="G988" i="2"/>
  <c r="F989" i="2"/>
  <c r="G989" i="2"/>
  <c r="H989" i="2"/>
  <c r="F990" i="2"/>
  <c r="G990" i="2"/>
  <c r="H990" i="2"/>
  <c r="F991" i="2"/>
  <c r="H991" i="2" s="1"/>
  <c r="G991" i="2"/>
  <c r="F992" i="2"/>
  <c r="H992" i="2" s="1"/>
  <c r="G992" i="2"/>
  <c r="F993" i="2"/>
  <c r="G993" i="2"/>
  <c r="H993" i="2"/>
  <c r="F994" i="2"/>
  <c r="G994" i="2"/>
  <c r="H994" i="2"/>
  <c r="F995" i="2"/>
  <c r="H995" i="2" s="1"/>
  <c r="G995" i="2"/>
  <c r="F996" i="2"/>
  <c r="H996" i="2" s="1"/>
  <c r="G996" i="2"/>
  <c r="F997" i="2"/>
  <c r="G997" i="2"/>
  <c r="H997" i="2"/>
  <c r="F998" i="2"/>
  <c r="G998" i="2"/>
  <c r="H998" i="2"/>
  <c r="F999" i="2"/>
  <c r="H999" i="2" s="1"/>
  <c r="G999" i="2"/>
  <c r="F1000" i="2"/>
  <c r="H1000" i="2" s="1"/>
  <c r="G1000" i="2"/>
  <c r="F1001" i="2"/>
  <c r="G1001" i="2"/>
  <c r="H1001" i="2"/>
  <c r="F1002" i="2"/>
  <c r="G1002" i="2"/>
  <c r="H1002" i="2"/>
  <c r="F1003" i="2"/>
  <c r="H1003" i="2" s="1"/>
  <c r="G1003" i="2"/>
  <c r="F1004" i="2"/>
  <c r="H1004" i="2" s="1"/>
  <c r="G1004" i="2"/>
  <c r="F1005" i="2"/>
  <c r="G1005" i="2"/>
  <c r="H1005" i="2"/>
  <c r="F1006" i="2"/>
  <c r="G1006" i="2"/>
  <c r="H1006" i="2"/>
  <c r="F1007" i="2"/>
  <c r="H1007" i="2" s="1"/>
  <c r="G1007" i="2"/>
  <c r="F1008" i="2"/>
  <c r="H1008" i="2" s="1"/>
  <c r="G1008" i="2"/>
  <c r="F1009" i="2"/>
  <c r="G1009" i="2"/>
  <c r="H1009" i="2"/>
  <c r="F1010" i="2"/>
  <c r="G1010" i="2"/>
  <c r="H1010" i="2"/>
  <c r="F1011" i="2"/>
  <c r="H1011" i="2" s="1"/>
  <c r="G1011" i="2"/>
  <c r="F1012" i="2"/>
  <c r="H1012" i="2" s="1"/>
  <c r="G1012" i="2"/>
  <c r="F1013" i="2"/>
  <c r="G1013" i="2"/>
  <c r="H1013" i="2"/>
  <c r="F1014" i="2"/>
  <c r="G1014" i="2"/>
  <c r="H1014" i="2"/>
  <c r="F1015" i="2"/>
  <c r="H1015" i="2" s="1"/>
  <c r="G1015" i="2"/>
  <c r="F1016" i="2"/>
  <c r="H1016" i="2" s="1"/>
  <c r="G1016" i="2"/>
  <c r="F1017" i="2"/>
  <c r="G1017" i="2"/>
  <c r="H1017" i="2"/>
  <c r="F1018" i="2"/>
  <c r="G1018" i="2"/>
  <c r="H1018" i="2"/>
  <c r="F1019" i="2"/>
  <c r="H1019" i="2" s="1"/>
  <c r="G1019" i="2"/>
  <c r="F1020" i="2"/>
  <c r="H1020" i="2" s="1"/>
  <c r="G1020" i="2"/>
  <c r="F1021" i="2"/>
  <c r="G1021" i="2"/>
  <c r="H1021" i="2"/>
  <c r="F1022" i="2"/>
  <c r="G1022" i="2"/>
  <c r="H1022" i="2"/>
  <c r="F1023" i="2"/>
  <c r="H1023" i="2" s="1"/>
  <c r="G1023" i="2"/>
  <c r="F1024" i="2"/>
  <c r="H1024" i="2" s="1"/>
  <c r="G1024" i="2"/>
  <c r="F1025" i="2"/>
  <c r="G1025" i="2"/>
  <c r="H1025" i="2"/>
  <c r="F1026" i="2"/>
  <c r="G1026" i="2"/>
  <c r="H1026" i="2"/>
  <c r="F1027" i="2"/>
  <c r="H1027" i="2" s="1"/>
  <c r="G1027" i="2"/>
  <c r="F1028" i="2"/>
  <c r="H1028" i="2" s="1"/>
  <c r="G1028" i="2"/>
  <c r="F1029" i="2"/>
  <c r="G1029" i="2"/>
  <c r="H1029" i="2"/>
  <c r="F1030" i="2"/>
  <c r="G1030" i="2"/>
  <c r="H1030" i="2"/>
  <c r="F1031" i="2"/>
  <c r="H1031" i="2" s="1"/>
  <c r="G1031" i="2"/>
  <c r="F1032" i="2"/>
  <c r="H1032" i="2" s="1"/>
  <c r="G1032" i="2"/>
  <c r="F1033" i="2"/>
  <c r="G1033" i="2"/>
  <c r="H1033" i="2"/>
  <c r="F1034" i="2"/>
  <c r="G1034" i="2"/>
  <c r="H1034" i="2"/>
  <c r="F1035" i="2"/>
  <c r="H1035" i="2" s="1"/>
  <c r="G1035" i="2"/>
  <c r="F1036" i="2"/>
  <c r="H1036" i="2" s="1"/>
  <c r="G1036" i="2"/>
  <c r="F1037" i="2"/>
  <c r="G1037" i="2"/>
  <c r="H1037" i="2"/>
  <c r="F1038" i="2"/>
  <c r="G1038" i="2"/>
  <c r="H1038" i="2"/>
  <c r="F1039" i="2"/>
  <c r="H1039" i="2" s="1"/>
  <c r="G1039" i="2"/>
  <c r="F1040" i="2"/>
  <c r="H1040" i="2" s="1"/>
  <c r="G1040" i="2"/>
  <c r="F1041" i="2"/>
  <c r="G1041" i="2"/>
  <c r="H1041" i="2"/>
  <c r="F1042" i="2"/>
  <c r="G1042" i="2"/>
  <c r="H1042" i="2"/>
  <c r="F1043" i="2"/>
  <c r="H1043" i="2" s="1"/>
  <c r="G1043" i="2"/>
  <c r="F1044" i="2"/>
  <c r="H1044" i="2" s="1"/>
  <c r="G1044" i="2"/>
  <c r="F1045" i="2"/>
  <c r="G1045" i="2"/>
  <c r="H1045" i="2"/>
  <c r="F1046" i="2"/>
  <c r="G1046" i="2"/>
  <c r="H1046" i="2"/>
  <c r="F1047" i="2"/>
  <c r="H1047" i="2" s="1"/>
  <c r="G1047" i="2"/>
  <c r="F1048" i="2"/>
  <c r="H1048" i="2" s="1"/>
  <c r="G1048" i="2"/>
  <c r="F1049" i="2"/>
  <c r="G1049" i="2"/>
  <c r="H1049" i="2"/>
  <c r="F1050" i="2"/>
  <c r="G1050" i="2"/>
  <c r="H1050" i="2"/>
  <c r="F1051" i="2"/>
  <c r="H1051" i="2" s="1"/>
  <c r="G1051" i="2"/>
  <c r="F1052" i="2"/>
  <c r="H1052" i="2" s="1"/>
  <c r="G1052" i="2"/>
  <c r="F1053" i="2"/>
  <c r="G1053" i="2"/>
  <c r="H1053" i="2"/>
  <c r="F1054" i="2"/>
  <c r="G1054" i="2"/>
  <c r="H1054" i="2"/>
  <c r="F1055" i="2"/>
  <c r="H1055" i="2" s="1"/>
  <c r="G1055" i="2"/>
  <c r="F1056" i="2"/>
  <c r="H1056" i="2" s="1"/>
  <c r="G1056" i="2"/>
  <c r="F1057" i="2"/>
  <c r="G1057" i="2"/>
  <c r="H1057" i="2"/>
  <c r="F1058" i="2"/>
  <c r="G1058" i="2"/>
  <c r="H1058" i="2"/>
  <c r="F1059" i="2"/>
  <c r="H1059" i="2" s="1"/>
  <c r="G1059" i="2"/>
  <c r="F1060" i="2"/>
  <c r="H1060" i="2" s="1"/>
  <c r="G1060" i="2"/>
  <c r="F1061" i="2"/>
  <c r="G1061" i="2"/>
  <c r="H1061" i="2"/>
  <c r="F1062" i="2"/>
  <c r="G1062" i="2"/>
  <c r="H1062" i="2"/>
  <c r="F1063" i="2"/>
  <c r="H1063" i="2" s="1"/>
  <c r="G1063" i="2"/>
  <c r="F1064" i="2"/>
  <c r="H1064" i="2" s="1"/>
  <c r="G1064" i="2"/>
  <c r="F1065" i="2"/>
  <c r="G1065" i="2"/>
  <c r="H1065" i="2"/>
  <c r="F1066" i="2"/>
  <c r="G1066" i="2"/>
  <c r="H1066" i="2"/>
  <c r="F1067" i="2"/>
  <c r="H1067" i="2" s="1"/>
  <c r="G1067" i="2"/>
  <c r="F1068" i="2"/>
  <c r="H1068" i="2" s="1"/>
  <c r="G1068" i="2"/>
  <c r="F1069" i="2"/>
  <c r="G1069" i="2"/>
  <c r="H1069" i="2"/>
  <c r="F1070" i="2"/>
  <c r="G1070" i="2"/>
  <c r="H1070" i="2"/>
  <c r="F1071" i="2"/>
  <c r="H1071" i="2" s="1"/>
  <c r="G1071" i="2"/>
  <c r="F1072" i="2"/>
  <c r="H1072" i="2" s="1"/>
  <c r="G1072" i="2"/>
  <c r="F1073" i="2"/>
  <c r="G1073" i="2"/>
  <c r="H1073" i="2"/>
  <c r="F1074" i="2"/>
  <c r="G1074" i="2"/>
  <c r="H1074" i="2"/>
  <c r="F1075" i="2"/>
  <c r="H1075" i="2" s="1"/>
  <c r="G1075" i="2"/>
  <c r="F1076" i="2"/>
  <c r="H1076" i="2" s="1"/>
  <c r="G1076" i="2"/>
  <c r="F1077" i="2"/>
  <c r="G1077" i="2"/>
  <c r="H1077" i="2"/>
  <c r="F1078" i="2"/>
  <c r="G1078" i="2"/>
  <c r="H1078" i="2"/>
  <c r="F1079" i="2"/>
  <c r="H1079" i="2" s="1"/>
  <c r="G1079" i="2"/>
  <c r="F1080" i="2"/>
  <c r="H1080" i="2" s="1"/>
  <c r="G1080" i="2"/>
  <c r="F1081" i="2"/>
  <c r="G1081" i="2"/>
  <c r="H1081" i="2"/>
  <c r="F1082" i="2"/>
  <c r="G1082" i="2"/>
  <c r="H1082" i="2"/>
  <c r="F1083" i="2"/>
  <c r="H1083" i="2" s="1"/>
  <c r="G1083" i="2"/>
  <c r="F1084" i="2"/>
  <c r="H1084" i="2" s="1"/>
  <c r="G1084" i="2"/>
  <c r="F1085" i="2"/>
  <c r="G1085" i="2"/>
  <c r="H1085" i="2"/>
  <c r="F1086" i="2"/>
  <c r="G1086" i="2"/>
  <c r="H1086" i="2"/>
  <c r="F1087" i="2"/>
  <c r="H1087" i="2" s="1"/>
  <c r="G1087" i="2"/>
  <c r="F1088" i="2"/>
  <c r="H1088" i="2" s="1"/>
  <c r="G1088" i="2"/>
  <c r="F1089" i="2"/>
  <c r="G1089" i="2"/>
  <c r="H1089" i="2"/>
  <c r="F1090" i="2"/>
  <c r="G1090" i="2"/>
  <c r="H1090" i="2"/>
  <c r="F1091" i="2"/>
  <c r="H1091" i="2" s="1"/>
  <c r="G1091" i="2"/>
  <c r="F1092" i="2"/>
  <c r="H1092" i="2" s="1"/>
  <c r="G1092" i="2"/>
  <c r="F1093" i="2"/>
  <c r="G1093" i="2"/>
  <c r="H1093" i="2"/>
  <c r="F1094" i="2"/>
  <c r="G1094" i="2"/>
  <c r="H1094" i="2"/>
  <c r="F1095" i="2"/>
  <c r="H1095" i="2" s="1"/>
  <c r="G1095" i="2"/>
  <c r="F1096" i="2"/>
  <c r="H1096" i="2" s="1"/>
  <c r="G1096" i="2"/>
  <c r="F1097" i="2"/>
  <c r="G1097" i="2"/>
  <c r="H1097" i="2"/>
  <c r="F1098" i="2"/>
  <c r="G1098" i="2"/>
  <c r="H1098" i="2"/>
  <c r="F1099" i="2"/>
  <c r="H1099" i="2" s="1"/>
  <c r="G1099" i="2"/>
  <c r="F1100" i="2"/>
  <c r="H1100" i="2" s="1"/>
  <c r="G1100" i="2"/>
  <c r="F1101" i="2"/>
  <c r="G1101" i="2"/>
  <c r="H1101" i="2"/>
  <c r="F1102" i="2"/>
  <c r="G1102" i="2"/>
  <c r="H1102" i="2"/>
  <c r="F1103" i="2"/>
  <c r="H1103" i="2" s="1"/>
  <c r="G1103" i="2"/>
  <c r="F1104" i="2"/>
  <c r="H1104" i="2" s="1"/>
  <c r="G1104" i="2"/>
  <c r="F1105" i="2"/>
  <c r="G1105" i="2"/>
  <c r="H1105" i="2"/>
  <c r="F1106" i="2"/>
  <c r="G1106" i="2"/>
  <c r="H1106" i="2"/>
  <c r="F1107" i="2"/>
  <c r="H1107" i="2" s="1"/>
  <c r="G1107" i="2"/>
  <c r="F1108" i="2"/>
  <c r="H1108" i="2" s="1"/>
  <c r="G1108" i="2"/>
  <c r="F1109" i="2"/>
  <c r="G1109" i="2"/>
  <c r="H1109" i="2"/>
  <c r="F1110" i="2"/>
  <c r="G1110" i="2"/>
  <c r="H1110" i="2"/>
  <c r="F1111" i="2"/>
  <c r="H1111" i="2" s="1"/>
  <c r="G1111" i="2"/>
  <c r="F1112" i="2"/>
  <c r="H1112" i="2" s="1"/>
  <c r="G1112" i="2"/>
  <c r="F1113" i="2"/>
  <c r="G1113" i="2"/>
  <c r="H111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G2" i="2"/>
  <c r="D214" i="3"/>
  <c r="F214" i="3" s="1"/>
  <c r="E214" i="3"/>
  <c r="G214" i="3"/>
  <c r="D215" i="3"/>
  <c r="E215" i="3"/>
  <c r="D216" i="3"/>
  <c r="E216" i="3"/>
  <c r="D217" i="3"/>
  <c r="E217" i="3"/>
  <c r="G217" i="3"/>
  <c r="D218" i="3"/>
  <c r="F218" i="3" s="1"/>
  <c r="E218" i="3"/>
  <c r="G218" i="3"/>
  <c r="D219" i="3"/>
  <c r="E219" i="3"/>
  <c r="D220" i="3"/>
  <c r="E220" i="3"/>
  <c r="D221" i="3"/>
  <c r="E221" i="3"/>
  <c r="G221" i="3"/>
  <c r="D222" i="3"/>
  <c r="F222" i="3" s="1"/>
  <c r="E222" i="3"/>
  <c r="G222" i="3"/>
  <c r="D223" i="3"/>
  <c r="E223" i="3"/>
  <c r="D224" i="3"/>
  <c r="E224" i="3"/>
  <c r="D225" i="3"/>
  <c r="E225" i="3"/>
  <c r="G225" i="3"/>
  <c r="D226" i="3"/>
  <c r="F226" i="3" s="1"/>
  <c r="E226" i="3"/>
  <c r="G226" i="3"/>
  <c r="D227" i="3"/>
  <c r="E227" i="3"/>
  <c r="D228" i="3"/>
  <c r="E228" i="3"/>
  <c r="D229" i="3"/>
  <c r="E229" i="3"/>
  <c r="G229" i="3"/>
  <c r="D230" i="3"/>
  <c r="F230" i="3" s="1"/>
  <c r="E230" i="3"/>
  <c r="G230" i="3"/>
  <c r="D231" i="3"/>
  <c r="E231" i="3"/>
  <c r="D232" i="3"/>
  <c r="E232" i="3"/>
  <c r="D233" i="3"/>
  <c r="E233" i="3"/>
  <c r="G233" i="3"/>
  <c r="D234" i="3"/>
  <c r="F234" i="3" s="1"/>
  <c r="E234" i="3"/>
  <c r="G234" i="3"/>
  <c r="D235" i="3"/>
  <c r="E235" i="3"/>
  <c r="D236" i="3"/>
  <c r="E236" i="3"/>
  <c r="D237" i="3"/>
  <c r="E237" i="3"/>
  <c r="G237" i="3"/>
  <c r="D238" i="3"/>
  <c r="F238" i="3" s="1"/>
  <c r="E238" i="3"/>
  <c r="G238" i="3"/>
  <c r="D239" i="3"/>
  <c r="E239" i="3"/>
  <c r="D240" i="3"/>
  <c r="E240" i="3"/>
  <c r="D241" i="3"/>
  <c r="E241" i="3"/>
  <c r="G241" i="3"/>
  <c r="D242" i="3"/>
  <c r="F242" i="3" s="1"/>
  <c r="E242" i="3"/>
  <c r="G242" i="3"/>
  <c r="D243" i="3"/>
  <c r="E243" i="3"/>
  <c r="D244" i="3"/>
  <c r="E244" i="3"/>
  <c r="D245" i="3"/>
  <c r="E245" i="3"/>
  <c r="G245" i="3"/>
  <c r="D246" i="3"/>
  <c r="F246" i="3" s="1"/>
  <c r="E246" i="3"/>
  <c r="G246" i="3"/>
  <c r="D247" i="3"/>
  <c r="E247" i="3"/>
  <c r="D248" i="3"/>
  <c r="E248" i="3"/>
  <c r="D249" i="3"/>
  <c r="E249" i="3"/>
  <c r="G249" i="3"/>
  <c r="D250" i="3"/>
  <c r="F250" i="3" s="1"/>
  <c r="E250" i="3"/>
  <c r="G250" i="3"/>
  <c r="D251" i="3"/>
  <c r="E251" i="3"/>
  <c r="D252" i="3"/>
  <c r="E252" i="3"/>
  <c r="D253" i="3"/>
  <c r="E253" i="3"/>
  <c r="G253" i="3"/>
  <c r="D254" i="3"/>
  <c r="F254" i="3" s="1"/>
  <c r="E254" i="3"/>
  <c r="G254" i="3"/>
  <c r="D255" i="3"/>
  <c r="E255" i="3"/>
  <c r="D256" i="3"/>
  <c r="E256" i="3"/>
  <c r="D257" i="3"/>
  <c r="E257" i="3"/>
  <c r="G257" i="3"/>
  <c r="D258" i="3"/>
  <c r="F258" i="3" s="1"/>
  <c r="E258" i="3"/>
  <c r="G258" i="3"/>
  <c r="D259" i="3"/>
  <c r="E259" i="3"/>
  <c r="D260" i="3"/>
  <c r="E260" i="3"/>
  <c r="D261" i="3"/>
  <c r="E261" i="3"/>
  <c r="G261" i="3"/>
  <c r="D262" i="3"/>
  <c r="F262" i="3" s="1"/>
  <c r="E262" i="3"/>
  <c r="G262" i="3"/>
  <c r="D263" i="3"/>
  <c r="E263" i="3"/>
  <c r="D264" i="3"/>
  <c r="E264" i="3"/>
  <c r="D265" i="3"/>
  <c r="E265" i="3"/>
  <c r="G265" i="3"/>
  <c r="D266" i="3"/>
  <c r="F266" i="3" s="1"/>
  <c r="E266" i="3"/>
  <c r="G266" i="3"/>
  <c r="D267" i="3"/>
  <c r="E267" i="3"/>
  <c r="D268" i="3"/>
  <c r="E268" i="3"/>
  <c r="D269" i="3"/>
  <c r="E269" i="3"/>
  <c r="G269" i="3"/>
  <c r="D270" i="3"/>
  <c r="F270" i="3" s="1"/>
  <c r="E270" i="3"/>
  <c r="G270" i="3"/>
  <c r="D271" i="3"/>
  <c r="E271" i="3"/>
  <c r="D272" i="3"/>
  <c r="E272" i="3"/>
  <c r="D273" i="3"/>
  <c r="E273" i="3"/>
  <c r="G273" i="3"/>
  <c r="D274" i="3"/>
  <c r="F274" i="3" s="1"/>
  <c r="E274" i="3"/>
  <c r="G274" i="3"/>
  <c r="D275" i="3"/>
  <c r="E275" i="3"/>
  <c r="D276" i="3"/>
  <c r="F276" i="3" s="1"/>
  <c r="E276" i="3"/>
  <c r="D277" i="3"/>
  <c r="E277" i="3"/>
  <c r="G277" i="3" s="1"/>
  <c r="D278" i="3"/>
  <c r="F278" i="3" s="1"/>
  <c r="E278" i="3"/>
  <c r="G278" i="3"/>
  <c r="D279" i="3"/>
  <c r="E279" i="3"/>
  <c r="D280" i="3"/>
  <c r="E280" i="3"/>
  <c r="D281" i="3"/>
  <c r="E281" i="3"/>
  <c r="G281" i="3"/>
  <c r="D282" i="3"/>
  <c r="F282" i="3" s="1"/>
  <c r="E282" i="3"/>
  <c r="G282" i="3"/>
  <c r="D283" i="3"/>
  <c r="E283" i="3"/>
  <c r="D284" i="3"/>
  <c r="E284" i="3"/>
  <c r="G284" i="3"/>
  <c r="D285" i="3"/>
  <c r="E285" i="3"/>
  <c r="G285" i="3"/>
  <c r="D286" i="3"/>
  <c r="F286" i="3" s="1"/>
  <c r="E286" i="3"/>
  <c r="D287" i="3"/>
  <c r="E287" i="3"/>
  <c r="D288" i="3"/>
  <c r="E288" i="3"/>
  <c r="G288" i="3"/>
  <c r="D289" i="3"/>
  <c r="E289" i="3"/>
  <c r="G289" i="3"/>
  <c r="D290" i="3"/>
  <c r="F290" i="3" s="1"/>
  <c r="E290" i="3"/>
  <c r="D291" i="3"/>
  <c r="E291" i="3"/>
  <c r="D292" i="3"/>
  <c r="F292" i="3" s="1"/>
  <c r="E292" i="3"/>
  <c r="D293" i="3"/>
  <c r="E293" i="3"/>
  <c r="G293" i="3" s="1"/>
  <c r="D294" i="3"/>
  <c r="F294" i="3" s="1"/>
  <c r="E294" i="3"/>
  <c r="G294" i="3"/>
  <c r="D295" i="3"/>
  <c r="E295" i="3"/>
  <c r="D296" i="3"/>
  <c r="E296" i="3"/>
  <c r="D297" i="3"/>
  <c r="E297" i="3"/>
  <c r="G297" i="3"/>
  <c r="D298" i="3"/>
  <c r="F298" i="3" s="1"/>
  <c r="E298" i="3"/>
  <c r="G298" i="3"/>
  <c r="D299" i="3"/>
  <c r="F299" i="3" s="1"/>
  <c r="E299" i="3"/>
  <c r="D300" i="3"/>
  <c r="E300" i="3"/>
  <c r="D301" i="3"/>
  <c r="E301" i="3"/>
  <c r="G301" i="3"/>
  <c r="D302" i="3"/>
  <c r="E302" i="3"/>
  <c r="G302" i="3"/>
  <c r="D303" i="3"/>
  <c r="F303" i="3" s="1"/>
  <c r="E303" i="3"/>
  <c r="D304" i="3"/>
  <c r="E304" i="3"/>
  <c r="D305" i="3"/>
  <c r="E305" i="3"/>
  <c r="G305" i="3"/>
  <c r="D306" i="3"/>
  <c r="E306" i="3"/>
  <c r="G306" i="3"/>
  <c r="D307" i="3"/>
  <c r="F307" i="3" s="1"/>
  <c r="E307" i="3"/>
  <c r="D308" i="3"/>
  <c r="E308" i="3"/>
  <c r="D309" i="3"/>
  <c r="E309" i="3"/>
  <c r="G309" i="3"/>
  <c r="D310" i="3"/>
  <c r="E310" i="3"/>
  <c r="G310" i="3"/>
  <c r="D311" i="3"/>
  <c r="F311" i="3" s="1"/>
  <c r="E311" i="3"/>
  <c r="D312" i="3"/>
  <c r="E312" i="3"/>
  <c r="D313" i="3"/>
  <c r="E313" i="3"/>
  <c r="G313" i="3"/>
  <c r="D314" i="3"/>
  <c r="E314" i="3"/>
  <c r="G314" i="3"/>
  <c r="D315" i="3"/>
  <c r="F315" i="3" s="1"/>
  <c r="E315" i="3"/>
  <c r="D316" i="3"/>
  <c r="E316" i="3"/>
  <c r="D317" i="3"/>
  <c r="E317" i="3"/>
  <c r="G317" i="3"/>
  <c r="D318" i="3"/>
  <c r="E318" i="3"/>
  <c r="G318" i="3"/>
  <c r="D319" i="3"/>
  <c r="F319" i="3" s="1"/>
  <c r="E319" i="3"/>
  <c r="D320" i="3"/>
  <c r="E320" i="3"/>
  <c r="D321" i="3"/>
  <c r="E321" i="3"/>
  <c r="G321" i="3"/>
  <c r="D322" i="3"/>
  <c r="E322" i="3"/>
  <c r="G322" i="3"/>
  <c r="D323" i="3"/>
  <c r="F323" i="3" s="1"/>
  <c r="E323" i="3"/>
  <c r="D324" i="3"/>
  <c r="E324" i="3"/>
  <c r="D325" i="3"/>
  <c r="E325" i="3"/>
  <c r="G325" i="3"/>
  <c r="D326" i="3"/>
  <c r="E326" i="3"/>
  <c r="G326" i="3"/>
  <c r="D327" i="3"/>
  <c r="F327" i="3" s="1"/>
  <c r="E327" i="3"/>
  <c r="D328" i="3"/>
  <c r="E328" i="3"/>
  <c r="D329" i="3"/>
  <c r="E329" i="3"/>
  <c r="G329" i="3"/>
  <c r="D330" i="3"/>
  <c r="E330" i="3"/>
  <c r="G330" i="3"/>
  <c r="D331" i="3"/>
  <c r="F331" i="3" s="1"/>
  <c r="E331" i="3"/>
  <c r="D332" i="3"/>
  <c r="E332" i="3"/>
  <c r="D333" i="3"/>
  <c r="E333" i="3"/>
  <c r="G333" i="3"/>
  <c r="D334" i="3"/>
  <c r="E334" i="3"/>
  <c r="G334" i="3"/>
  <c r="D335" i="3"/>
  <c r="F335" i="3" s="1"/>
  <c r="E335" i="3"/>
  <c r="D336" i="3"/>
  <c r="E336" i="3"/>
  <c r="D337" i="3"/>
  <c r="E337" i="3"/>
  <c r="G337" i="3"/>
  <c r="D338" i="3"/>
  <c r="E338" i="3"/>
  <c r="G338" i="3"/>
  <c r="D339" i="3"/>
  <c r="F339" i="3" s="1"/>
  <c r="E339" i="3"/>
  <c r="D340" i="3"/>
  <c r="E340" i="3"/>
  <c r="D341" i="3"/>
  <c r="E341" i="3"/>
  <c r="G341" i="3"/>
  <c r="D342" i="3"/>
  <c r="E342" i="3"/>
  <c r="F342" i="3"/>
  <c r="G342" i="3"/>
  <c r="D343" i="3"/>
  <c r="E343" i="3"/>
  <c r="F343" i="3"/>
  <c r="G343" i="3"/>
  <c r="D344" i="3"/>
  <c r="E344" i="3"/>
  <c r="F344" i="3"/>
  <c r="G344" i="3"/>
  <c r="D345" i="3"/>
  <c r="E345" i="3"/>
  <c r="F345" i="3"/>
  <c r="G345" i="3"/>
  <c r="D346" i="3"/>
  <c r="E346" i="3"/>
  <c r="F346" i="3"/>
  <c r="G346" i="3"/>
  <c r="D347" i="3"/>
  <c r="E347" i="3"/>
  <c r="F347" i="3"/>
  <c r="G347" i="3"/>
  <c r="D348" i="3"/>
  <c r="E348" i="3"/>
  <c r="F348" i="3"/>
  <c r="G348" i="3"/>
  <c r="D349" i="3"/>
  <c r="E349" i="3"/>
  <c r="F349" i="3"/>
  <c r="G349" i="3"/>
  <c r="D350" i="3"/>
  <c r="E350" i="3"/>
  <c r="F350" i="3"/>
  <c r="G350" i="3"/>
  <c r="D351" i="3"/>
  <c r="E351" i="3"/>
  <c r="F351" i="3"/>
  <c r="G351" i="3"/>
  <c r="D352" i="3"/>
  <c r="E352" i="3"/>
  <c r="F352" i="3"/>
  <c r="G352" i="3"/>
  <c r="D353" i="3"/>
  <c r="E353" i="3"/>
  <c r="F353" i="3"/>
  <c r="G353" i="3"/>
  <c r="D354" i="3"/>
  <c r="E354" i="3"/>
  <c r="F354" i="3"/>
  <c r="G354" i="3"/>
  <c r="D355" i="3"/>
  <c r="E355" i="3"/>
  <c r="F355" i="3"/>
  <c r="G355" i="3"/>
  <c r="D356" i="3"/>
  <c r="E356" i="3"/>
  <c r="F356" i="3"/>
  <c r="G356" i="3"/>
  <c r="D357" i="3"/>
  <c r="E357" i="3"/>
  <c r="F357" i="3"/>
  <c r="G357" i="3"/>
  <c r="D358" i="3"/>
  <c r="E358" i="3"/>
  <c r="F358" i="3"/>
  <c r="G358" i="3"/>
  <c r="D359" i="3"/>
  <c r="E359" i="3"/>
  <c r="F359" i="3"/>
  <c r="G359" i="3"/>
  <c r="D360" i="3"/>
  <c r="E360" i="3"/>
  <c r="F360" i="3"/>
  <c r="G360" i="3"/>
  <c r="D361" i="3"/>
  <c r="E361" i="3"/>
  <c r="F361" i="3"/>
  <c r="G361" i="3"/>
  <c r="D362" i="3"/>
  <c r="E362" i="3"/>
  <c r="F362" i="3"/>
  <c r="G362" i="3"/>
  <c r="D363" i="3"/>
  <c r="E363" i="3"/>
  <c r="F363" i="3"/>
  <c r="G363" i="3"/>
  <c r="D364" i="3"/>
  <c r="E364" i="3"/>
  <c r="F364" i="3"/>
  <c r="G364" i="3"/>
  <c r="D365" i="3"/>
  <c r="E365" i="3"/>
  <c r="F365" i="3"/>
  <c r="G365" i="3"/>
  <c r="D366" i="3"/>
  <c r="E366" i="3"/>
  <c r="F366" i="3"/>
  <c r="G366" i="3"/>
  <c r="D367" i="3"/>
  <c r="E367" i="3"/>
  <c r="F367" i="3"/>
  <c r="G367" i="3"/>
  <c r="D368" i="3"/>
  <c r="E368" i="3"/>
  <c r="F368" i="3"/>
  <c r="G368" i="3"/>
  <c r="D369" i="3"/>
  <c r="E369" i="3"/>
  <c r="F369" i="3"/>
  <c r="G369" i="3"/>
  <c r="D370" i="3"/>
  <c r="E370" i="3"/>
  <c r="F370" i="3"/>
  <c r="G370" i="3"/>
  <c r="D371" i="3"/>
  <c r="E371" i="3"/>
  <c r="F371" i="3"/>
  <c r="G371" i="3"/>
  <c r="D372" i="3"/>
  <c r="E372" i="3"/>
  <c r="F372" i="3"/>
  <c r="G372" i="3"/>
  <c r="D373" i="3"/>
  <c r="E373" i="3"/>
  <c r="F373" i="3"/>
  <c r="G373" i="3"/>
  <c r="D374" i="3"/>
  <c r="E374" i="3"/>
  <c r="F374" i="3"/>
  <c r="G374" i="3"/>
  <c r="D375" i="3"/>
  <c r="E375" i="3"/>
  <c r="F375" i="3"/>
  <c r="G375" i="3"/>
  <c r="D376" i="3"/>
  <c r="E376" i="3"/>
  <c r="F376" i="3"/>
  <c r="G376" i="3"/>
  <c r="D377" i="3"/>
  <c r="E377" i="3"/>
  <c r="F377" i="3"/>
  <c r="G377" i="3"/>
  <c r="D378" i="3"/>
  <c r="E378" i="3"/>
  <c r="F378" i="3"/>
  <c r="G378" i="3"/>
  <c r="D379" i="3"/>
  <c r="E379" i="3"/>
  <c r="F379" i="3"/>
  <c r="G379" i="3"/>
  <c r="D380" i="3"/>
  <c r="E380" i="3"/>
  <c r="F380" i="3"/>
  <c r="G380" i="3"/>
  <c r="D381" i="3"/>
  <c r="E381" i="3"/>
  <c r="F381" i="3"/>
  <c r="G381" i="3"/>
  <c r="D382" i="3"/>
  <c r="E382" i="3"/>
  <c r="F382" i="3"/>
  <c r="G382" i="3"/>
  <c r="D383" i="3"/>
  <c r="E383" i="3"/>
  <c r="F383" i="3"/>
  <c r="G383" i="3"/>
  <c r="D384" i="3"/>
  <c r="E384" i="3"/>
  <c r="F384" i="3"/>
  <c r="G384" i="3"/>
  <c r="D385" i="3"/>
  <c r="E385" i="3"/>
  <c r="F385" i="3"/>
  <c r="G385" i="3"/>
  <c r="D386" i="3"/>
  <c r="E386" i="3"/>
  <c r="F386" i="3"/>
  <c r="G386" i="3"/>
  <c r="D387" i="3"/>
  <c r="E387" i="3"/>
  <c r="F387" i="3"/>
  <c r="G387" i="3"/>
  <c r="D388" i="3"/>
  <c r="E388" i="3"/>
  <c r="F388" i="3"/>
  <c r="G388" i="3"/>
  <c r="D389" i="3"/>
  <c r="E389" i="3"/>
  <c r="F389" i="3"/>
  <c r="G389" i="3"/>
  <c r="D390" i="3"/>
  <c r="E390" i="3"/>
  <c r="F390" i="3"/>
  <c r="G390" i="3"/>
  <c r="D391" i="3"/>
  <c r="E391" i="3"/>
  <c r="F391" i="3"/>
  <c r="G391" i="3"/>
  <c r="D392" i="3"/>
  <c r="E392" i="3"/>
  <c r="F392" i="3"/>
  <c r="G392" i="3"/>
  <c r="D393" i="3"/>
  <c r="E393" i="3"/>
  <c r="F393" i="3"/>
  <c r="G393" i="3"/>
  <c r="D394" i="3"/>
  <c r="E394" i="3"/>
  <c r="F394" i="3"/>
  <c r="G394" i="3"/>
  <c r="D395" i="3"/>
  <c r="E395" i="3"/>
  <c r="F395" i="3"/>
  <c r="G395" i="3"/>
  <c r="D396" i="3"/>
  <c r="E396" i="3"/>
  <c r="F396" i="3"/>
  <c r="G396" i="3"/>
  <c r="D397" i="3"/>
  <c r="E397" i="3"/>
  <c r="F397" i="3"/>
  <c r="G397" i="3"/>
  <c r="D398" i="3"/>
  <c r="E398" i="3"/>
  <c r="F398" i="3"/>
  <c r="G398" i="3"/>
  <c r="D399" i="3"/>
  <c r="E399" i="3"/>
  <c r="F399" i="3"/>
  <c r="G399" i="3"/>
  <c r="D400" i="3"/>
  <c r="E400" i="3"/>
  <c r="F400" i="3"/>
  <c r="G400" i="3"/>
  <c r="D401" i="3"/>
  <c r="E401" i="3"/>
  <c r="F401" i="3"/>
  <c r="G401" i="3"/>
  <c r="D402" i="3"/>
  <c r="E402" i="3"/>
  <c r="F402" i="3"/>
  <c r="G402" i="3"/>
  <c r="D403" i="3"/>
  <c r="E403" i="3"/>
  <c r="F403" i="3"/>
  <c r="G403" i="3"/>
  <c r="D404" i="3"/>
  <c r="E404" i="3"/>
  <c r="F404" i="3"/>
  <c r="G404" i="3"/>
  <c r="D405" i="3"/>
  <c r="E405" i="3"/>
  <c r="F405" i="3"/>
  <c r="G405" i="3"/>
  <c r="D406" i="3"/>
  <c r="E406" i="3"/>
  <c r="F406" i="3"/>
  <c r="G406" i="3"/>
  <c r="D407" i="3"/>
  <c r="E407" i="3"/>
  <c r="F407" i="3"/>
  <c r="G407" i="3"/>
  <c r="D408" i="3"/>
  <c r="E408" i="3"/>
  <c r="F408" i="3"/>
  <c r="G408" i="3"/>
  <c r="D409" i="3"/>
  <c r="E409" i="3"/>
  <c r="F409" i="3"/>
  <c r="G409" i="3"/>
  <c r="D410" i="3"/>
  <c r="E410" i="3"/>
  <c r="F410" i="3"/>
  <c r="G410" i="3"/>
  <c r="D411" i="3"/>
  <c r="E411" i="3"/>
  <c r="F411" i="3"/>
  <c r="G411" i="3"/>
  <c r="D412" i="3"/>
  <c r="E412" i="3"/>
  <c r="F412" i="3"/>
  <c r="G412" i="3"/>
  <c r="D413" i="3"/>
  <c r="E413" i="3"/>
  <c r="F413" i="3"/>
  <c r="G413" i="3"/>
  <c r="D414" i="3"/>
  <c r="E414" i="3"/>
  <c r="F414" i="3"/>
  <c r="G414" i="3"/>
  <c r="D415" i="3"/>
  <c r="E415" i="3"/>
  <c r="F415" i="3"/>
  <c r="G415" i="3"/>
  <c r="D416" i="3"/>
  <c r="E416" i="3"/>
  <c r="F416" i="3"/>
  <c r="G416" i="3"/>
  <c r="D417" i="3"/>
  <c r="E417" i="3"/>
  <c r="F417" i="3"/>
  <c r="G417" i="3"/>
  <c r="D418" i="3"/>
  <c r="E418" i="3"/>
  <c r="F418" i="3"/>
  <c r="G418" i="3"/>
  <c r="D419" i="3"/>
  <c r="E419" i="3"/>
  <c r="F419" i="3"/>
  <c r="G419" i="3"/>
  <c r="D420" i="3"/>
  <c r="E420" i="3"/>
  <c r="F420" i="3"/>
  <c r="G420" i="3"/>
  <c r="D421" i="3"/>
  <c r="E421" i="3"/>
  <c r="F421" i="3"/>
  <c r="G421" i="3"/>
  <c r="D422" i="3"/>
  <c r="E422" i="3"/>
  <c r="F422" i="3"/>
  <c r="G422" i="3"/>
  <c r="D423" i="3"/>
  <c r="E423" i="3"/>
  <c r="F423" i="3"/>
  <c r="G423" i="3"/>
  <c r="D424" i="3"/>
  <c r="E424" i="3"/>
  <c r="F424" i="3"/>
  <c r="G424" i="3"/>
  <c r="D425" i="3"/>
  <c r="E425" i="3"/>
  <c r="F425" i="3"/>
  <c r="G425" i="3"/>
  <c r="D426" i="3"/>
  <c r="E426" i="3"/>
  <c r="F426" i="3"/>
  <c r="G426" i="3"/>
  <c r="D427" i="3"/>
  <c r="E427" i="3"/>
  <c r="F427" i="3"/>
  <c r="G427" i="3"/>
  <c r="D428" i="3"/>
  <c r="E428" i="3"/>
  <c r="F428" i="3"/>
  <c r="G428" i="3"/>
  <c r="D429" i="3"/>
  <c r="E429" i="3"/>
  <c r="F429" i="3"/>
  <c r="G429" i="3"/>
  <c r="D430" i="3"/>
  <c r="E430" i="3"/>
  <c r="F430" i="3"/>
  <c r="G430" i="3"/>
  <c r="D431" i="3"/>
  <c r="E431" i="3"/>
  <c r="F431" i="3"/>
  <c r="G431" i="3"/>
  <c r="D432" i="3"/>
  <c r="E432" i="3"/>
  <c r="F432" i="3"/>
  <c r="G432" i="3"/>
  <c r="D433" i="3"/>
  <c r="E433" i="3"/>
  <c r="F433" i="3"/>
  <c r="G433" i="3"/>
  <c r="D434" i="3"/>
  <c r="E434" i="3"/>
  <c r="F434" i="3"/>
  <c r="G434" i="3"/>
  <c r="D435" i="3"/>
  <c r="E435" i="3"/>
  <c r="F435" i="3"/>
  <c r="G435" i="3"/>
  <c r="D436" i="3"/>
  <c r="E436" i="3"/>
  <c r="F436" i="3"/>
  <c r="G436" i="3"/>
  <c r="D437" i="3"/>
  <c r="E437" i="3"/>
  <c r="F437" i="3"/>
  <c r="G437" i="3"/>
  <c r="D438" i="3"/>
  <c r="E438" i="3"/>
  <c r="F438" i="3"/>
  <c r="G438" i="3"/>
  <c r="D439" i="3"/>
  <c r="E439" i="3"/>
  <c r="F439" i="3"/>
  <c r="G439" i="3"/>
  <c r="D440" i="3"/>
  <c r="E440" i="3"/>
  <c r="F440" i="3"/>
  <c r="G440" i="3"/>
  <c r="D441" i="3"/>
  <c r="E441" i="3"/>
  <c r="F441" i="3"/>
  <c r="G441" i="3"/>
  <c r="D442" i="3"/>
  <c r="E442" i="3"/>
  <c r="F442" i="3"/>
  <c r="G442" i="3"/>
  <c r="D443" i="3"/>
  <c r="E443" i="3"/>
  <c r="F443" i="3"/>
  <c r="G443" i="3"/>
  <c r="D444" i="3"/>
  <c r="E444" i="3"/>
  <c r="F444" i="3"/>
  <c r="G444" i="3"/>
  <c r="D445" i="3"/>
  <c r="E445" i="3"/>
  <c r="F445" i="3"/>
  <c r="G445" i="3"/>
  <c r="D446" i="3"/>
  <c r="E446" i="3"/>
  <c r="F446" i="3"/>
  <c r="G446" i="3"/>
  <c r="D447" i="3"/>
  <c r="E447" i="3"/>
  <c r="F447" i="3"/>
  <c r="G447" i="3"/>
  <c r="D448" i="3"/>
  <c r="E448" i="3"/>
  <c r="F448" i="3"/>
  <c r="G448" i="3"/>
  <c r="D449" i="3"/>
  <c r="E449" i="3"/>
  <c r="F449" i="3"/>
  <c r="G449" i="3"/>
  <c r="D450" i="3"/>
  <c r="E450" i="3"/>
  <c r="F450" i="3"/>
  <c r="G450" i="3"/>
  <c r="D451" i="3"/>
  <c r="E451" i="3"/>
  <c r="F451" i="3"/>
  <c r="G451" i="3"/>
  <c r="D452" i="3"/>
  <c r="E452" i="3"/>
  <c r="F452" i="3"/>
  <c r="G452" i="3"/>
  <c r="D453" i="3"/>
  <c r="E453" i="3"/>
  <c r="F453" i="3"/>
  <c r="G453" i="3"/>
  <c r="D454" i="3"/>
  <c r="E454" i="3"/>
  <c r="F454" i="3"/>
  <c r="G454" i="3"/>
  <c r="D455" i="3"/>
  <c r="E455" i="3"/>
  <c r="F455" i="3"/>
  <c r="G455" i="3"/>
  <c r="D456" i="3"/>
  <c r="E456" i="3"/>
  <c r="F456" i="3"/>
  <c r="G456" i="3"/>
  <c r="D457" i="3"/>
  <c r="E457" i="3"/>
  <c r="F457" i="3"/>
  <c r="G457" i="3"/>
  <c r="D458" i="3"/>
  <c r="E458" i="3"/>
  <c r="F458" i="3"/>
  <c r="G458" i="3"/>
  <c r="D459" i="3"/>
  <c r="E459" i="3"/>
  <c r="F459" i="3"/>
  <c r="G459" i="3"/>
  <c r="D460" i="3"/>
  <c r="E460" i="3"/>
  <c r="F460" i="3"/>
  <c r="G460" i="3"/>
  <c r="D461" i="3"/>
  <c r="E461" i="3"/>
  <c r="F461" i="3"/>
  <c r="G461" i="3"/>
  <c r="D462" i="3"/>
  <c r="E462" i="3"/>
  <c r="F462" i="3"/>
  <c r="G462" i="3"/>
  <c r="D463" i="3"/>
  <c r="E463" i="3"/>
  <c r="F463" i="3"/>
  <c r="G463" i="3"/>
  <c r="D464" i="3"/>
  <c r="E464" i="3"/>
  <c r="F464" i="3"/>
  <c r="G464" i="3"/>
  <c r="D465" i="3"/>
  <c r="E465" i="3"/>
  <c r="F465" i="3"/>
  <c r="G465" i="3"/>
  <c r="D466" i="3"/>
  <c r="E466" i="3"/>
  <c r="F466" i="3"/>
  <c r="G466" i="3"/>
  <c r="D467" i="3"/>
  <c r="E467" i="3"/>
  <c r="F467" i="3"/>
  <c r="G467" i="3"/>
  <c r="D468" i="3"/>
  <c r="E468" i="3"/>
  <c r="F468" i="3"/>
  <c r="G468" i="3"/>
  <c r="D469" i="3"/>
  <c r="E469" i="3"/>
  <c r="F469" i="3"/>
  <c r="G469" i="3"/>
  <c r="D470" i="3"/>
  <c r="E470" i="3"/>
  <c r="F470" i="3"/>
  <c r="G470" i="3"/>
  <c r="D471" i="3"/>
  <c r="E471" i="3"/>
  <c r="F471" i="3"/>
  <c r="G471" i="3"/>
  <c r="D472" i="3"/>
  <c r="E472" i="3"/>
  <c r="F472" i="3"/>
  <c r="G472" i="3"/>
  <c r="D473" i="3"/>
  <c r="E473" i="3"/>
  <c r="F473" i="3"/>
  <c r="G473" i="3"/>
  <c r="D474" i="3"/>
  <c r="E474" i="3"/>
  <c r="F474" i="3"/>
  <c r="G474" i="3"/>
  <c r="D475" i="3"/>
  <c r="E475" i="3"/>
  <c r="F475" i="3"/>
  <c r="G475" i="3"/>
  <c r="D476" i="3"/>
  <c r="E476" i="3"/>
  <c r="F476" i="3"/>
  <c r="G476" i="3"/>
  <c r="D477" i="3"/>
  <c r="E477" i="3"/>
  <c r="F477" i="3"/>
  <c r="G477" i="3"/>
  <c r="D478" i="3"/>
  <c r="E478" i="3"/>
  <c r="F478" i="3"/>
  <c r="G478" i="3"/>
  <c r="D479" i="3"/>
  <c r="E479" i="3"/>
  <c r="F479" i="3"/>
  <c r="G479" i="3"/>
  <c r="D480" i="3"/>
  <c r="E480" i="3"/>
  <c r="F480" i="3"/>
  <c r="G480" i="3"/>
  <c r="D481" i="3"/>
  <c r="E481" i="3"/>
  <c r="F481" i="3"/>
  <c r="G481" i="3"/>
  <c r="D482" i="3"/>
  <c r="E482" i="3"/>
  <c r="F482" i="3"/>
  <c r="G482" i="3"/>
  <c r="D483" i="3"/>
  <c r="E483" i="3"/>
  <c r="F483" i="3"/>
  <c r="G483" i="3"/>
  <c r="D484" i="3"/>
  <c r="E484" i="3"/>
  <c r="F484" i="3"/>
  <c r="G484" i="3"/>
  <c r="D485" i="3"/>
  <c r="E485" i="3"/>
  <c r="F485" i="3"/>
  <c r="G485" i="3"/>
  <c r="D486" i="3"/>
  <c r="E486" i="3"/>
  <c r="F486" i="3"/>
  <c r="G486" i="3"/>
  <c r="D487" i="3"/>
  <c r="E487" i="3"/>
  <c r="F487" i="3"/>
  <c r="G487" i="3"/>
  <c r="D488" i="3"/>
  <c r="E488" i="3"/>
  <c r="F488" i="3"/>
  <c r="G488" i="3"/>
  <c r="D489" i="3"/>
  <c r="E489" i="3"/>
  <c r="F489" i="3"/>
  <c r="G489" i="3"/>
  <c r="D490" i="3"/>
  <c r="E490" i="3"/>
  <c r="F490" i="3"/>
  <c r="G490" i="3"/>
  <c r="D491" i="3"/>
  <c r="E491" i="3"/>
  <c r="F491" i="3"/>
  <c r="G491" i="3"/>
  <c r="D492" i="3"/>
  <c r="E492" i="3"/>
  <c r="F492" i="3"/>
  <c r="G492" i="3"/>
  <c r="D493" i="3"/>
  <c r="E493" i="3"/>
  <c r="F493" i="3"/>
  <c r="G493" i="3"/>
  <c r="D494" i="3"/>
  <c r="E494" i="3"/>
  <c r="F494" i="3"/>
  <c r="G494" i="3"/>
  <c r="D495" i="3"/>
  <c r="E495" i="3"/>
  <c r="F495" i="3"/>
  <c r="G495" i="3"/>
  <c r="D496" i="3"/>
  <c r="E496" i="3"/>
  <c r="F496" i="3"/>
  <c r="G496" i="3"/>
  <c r="D497" i="3"/>
  <c r="E497" i="3"/>
  <c r="F497" i="3"/>
  <c r="G497" i="3"/>
  <c r="D498" i="3"/>
  <c r="E498" i="3"/>
  <c r="F498" i="3"/>
  <c r="G498" i="3"/>
  <c r="D499" i="3"/>
  <c r="E499" i="3"/>
  <c r="F499" i="3"/>
  <c r="G499" i="3"/>
  <c r="D500" i="3"/>
  <c r="E500" i="3"/>
  <c r="F500" i="3"/>
  <c r="G500" i="3"/>
  <c r="D501" i="3"/>
  <c r="E501" i="3"/>
  <c r="F501" i="3"/>
  <c r="G501" i="3"/>
  <c r="D502" i="3"/>
  <c r="E502" i="3"/>
  <c r="F502" i="3"/>
  <c r="G502" i="3"/>
  <c r="D503" i="3"/>
  <c r="E503" i="3"/>
  <c r="F503" i="3"/>
  <c r="G503" i="3"/>
  <c r="D504" i="3"/>
  <c r="E504" i="3"/>
  <c r="F504" i="3"/>
  <c r="G504" i="3"/>
  <c r="D505" i="3"/>
  <c r="E505" i="3"/>
  <c r="F505" i="3"/>
  <c r="G505" i="3"/>
  <c r="D506" i="3"/>
  <c r="E506" i="3"/>
  <c r="F506" i="3"/>
  <c r="G506" i="3"/>
  <c r="D507" i="3"/>
  <c r="E507" i="3"/>
  <c r="F507" i="3"/>
  <c r="G507" i="3"/>
  <c r="D508" i="3"/>
  <c r="E508" i="3"/>
  <c r="F508" i="3"/>
  <c r="G508" i="3"/>
  <c r="D509" i="3"/>
  <c r="E509" i="3"/>
  <c r="F509" i="3"/>
  <c r="G509" i="3"/>
  <c r="D510" i="3"/>
  <c r="E510" i="3"/>
  <c r="F510" i="3"/>
  <c r="G510" i="3"/>
  <c r="D511" i="3"/>
  <c r="E511" i="3"/>
  <c r="F511" i="3"/>
  <c r="G511" i="3"/>
  <c r="D512" i="3"/>
  <c r="E512" i="3"/>
  <c r="F512" i="3"/>
  <c r="G512" i="3"/>
  <c r="D513" i="3"/>
  <c r="E513" i="3"/>
  <c r="F513" i="3"/>
  <c r="G513" i="3"/>
  <c r="D514" i="3"/>
  <c r="E514" i="3"/>
  <c r="F514" i="3"/>
  <c r="G514" i="3"/>
  <c r="D515" i="3"/>
  <c r="E515" i="3"/>
  <c r="F515" i="3"/>
  <c r="G515" i="3"/>
  <c r="D516" i="3"/>
  <c r="E516" i="3"/>
  <c r="F516" i="3"/>
  <c r="G516" i="3"/>
  <c r="D517" i="3"/>
  <c r="E517" i="3"/>
  <c r="F517" i="3"/>
  <c r="G517" i="3"/>
  <c r="D518" i="3"/>
  <c r="E518" i="3"/>
  <c r="F518" i="3"/>
  <c r="G518" i="3"/>
  <c r="D519" i="3"/>
  <c r="E519" i="3"/>
  <c r="F519" i="3"/>
  <c r="G519" i="3"/>
  <c r="D520" i="3"/>
  <c r="E520" i="3"/>
  <c r="F520" i="3"/>
  <c r="G520" i="3"/>
  <c r="D521" i="3"/>
  <c r="E521" i="3"/>
  <c r="F521" i="3"/>
  <c r="G521" i="3"/>
  <c r="D522" i="3"/>
  <c r="E522" i="3"/>
  <c r="F522" i="3"/>
  <c r="G522" i="3"/>
  <c r="D523" i="3"/>
  <c r="E523" i="3"/>
  <c r="F523" i="3"/>
  <c r="G523" i="3"/>
  <c r="D524" i="3"/>
  <c r="E524" i="3"/>
  <c r="F524" i="3"/>
  <c r="G524" i="3"/>
  <c r="D525" i="3"/>
  <c r="E525" i="3"/>
  <c r="F525" i="3"/>
  <c r="G525" i="3"/>
  <c r="D526" i="3"/>
  <c r="E526" i="3"/>
  <c r="F526" i="3"/>
  <c r="G526" i="3"/>
  <c r="D527" i="3"/>
  <c r="E527" i="3"/>
  <c r="F527" i="3"/>
  <c r="G527" i="3"/>
  <c r="D528" i="3"/>
  <c r="E528" i="3"/>
  <c r="F528" i="3"/>
  <c r="G528" i="3"/>
  <c r="D529" i="3"/>
  <c r="E529" i="3"/>
  <c r="F529" i="3"/>
  <c r="G529" i="3"/>
  <c r="D530" i="3"/>
  <c r="E530" i="3"/>
  <c r="F530" i="3"/>
  <c r="G530" i="3"/>
  <c r="D531" i="3"/>
  <c r="E531" i="3"/>
  <c r="F531" i="3"/>
  <c r="G531" i="3"/>
  <c r="D532" i="3"/>
  <c r="E532" i="3"/>
  <c r="F532" i="3"/>
  <c r="G532" i="3"/>
  <c r="D533" i="3"/>
  <c r="E533" i="3"/>
  <c r="F533" i="3"/>
  <c r="G533" i="3"/>
  <c r="D534" i="3"/>
  <c r="E534" i="3"/>
  <c r="F534" i="3"/>
  <c r="G534" i="3"/>
  <c r="D535" i="3"/>
  <c r="E535" i="3"/>
  <c r="F535" i="3"/>
  <c r="G535" i="3"/>
  <c r="D536" i="3"/>
  <c r="E536" i="3"/>
  <c r="F536" i="3"/>
  <c r="G536" i="3"/>
  <c r="D537" i="3"/>
  <c r="E537" i="3"/>
  <c r="F537" i="3"/>
  <c r="G537" i="3"/>
  <c r="D538" i="3"/>
  <c r="E538" i="3"/>
  <c r="F538" i="3"/>
  <c r="G538" i="3"/>
  <c r="D539" i="3"/>
  <c r="E539" i="3"/>
  <c r="F539" i="3"/>
  <c r="G539" i="3"/>
  <c r="D540" i="3"/>
  <c r="E540" i="3"/>
  <c r="F540" i="3"/>
  <c r="G540" i="3"/>
  <c r="D541" i="3"/>
  <c r="E541" i="3"/>
  <c r="F541" i="3"/>
  <c r="G541" i="3"/>
  <c r="D542" i="3"/>
  <c r="E542" i="3"/>
  <c r="F542" i="3"/>
  <c r="G542" i="3"/>
  <c r="D543" i="3"/>
  <c r="E543" i="3"/>
  <c r="F543" i="3"/>
  <c r="G543" i="3"/>
  <c r="D544" i="3"/>
  <c r="E544" i="3"/>
  <c r="F544" i="3"/>
  <c r="G544" i="3"/>
  <c r="D545" i="3"/>
  <c r="E545" i="3"/>
  <c r="F545" i="3"/>
  <c r="G545" i="3"/>
  <c r="D546" i="3"/>
  <c r="E546" i="3"/>
  <c r="F546" i="3"/>
  <c r="G546" i="3"/>
  <c r="D547" i="3"/>
  <c r="E547" i="3"/>
  <c r="F547" i="3"/>
  <c r="G547" i="3"/>
  <c r="D548" i="3"/>
  <c r="E548" i="3"/>
  <c r="F548" i="3"/>
  <c r="G548" i="3"/>
  <c r="D549" i="3"/>
  <c r="E549" i="3"/>
  <c r="F549" i="3"/>
  <c r="G549" i="3"/>
  <c r="D550" i="3"/>
  <c r="E550" i="3"/>
  <c r="F550" i="3"/>
  <c r="G550" i="3"/>
  <c r="D551" i="3"/>
  <c r="E551" i="3"/>
  <c r="F551" i="3"/>
  <c r="G551" i="3"/>
  <c r="D552" i="3"/>
  <c r="E552" i="3"/>
  <c r="F552" i="3"/>
  <c r="G552" i="3"/>
  <c r="D553" i="3"/>
  <c r="E553" i="3"/>
  <c r="F553" i="3"/>
  <c r="G553" i="3"/>
  <c r="D554" i="3"/>
  <c r="E554" i="3"/>
  <c r="F554" i="3"/>
  <c r="G554" i="3"/>
  <c r="D555" i="3"/>
  <c r="E555" i="3"/>
  <c r="F555" i="3"/>
  <c r="G555" i="3"/>
  <c r="D556" i="3"/>
  <c r="E556" i="3"/>
  <c r="F556" i="3"/>
  <c r="G556" i="3"/>
  <c r="D557" i="3"/>
  <c r="E557" i="3"/>
  <c r="F557" i="3"/>
  <c r="G557" i="3"/>
  <c r="D558" i="3"/>
  <c r="E558" i="3"/>
  <c r="F558" i="3"/>
  <c r="G558" i="3"/>
  <c r="D559" i="3"/>
  <c r="E559" i="3"/>
  <c r="F559" i="3"/>
  <c r="G559" i="3"/>
  <c r="D560" i="3"/>
  <c r="E560" i="3"/>
  <c r="F560" i="3"/>
  <c r="G560" i="3"/>
  <c r="D561" i="3"/>
  <c r="E561" i="3"/>
  <c r="F561" i="3"/>
  <c r="G561" i="3"/>
  <c r="D562" i="3"/>
  <c r="E562" i="3"/>
  <c r="F562" i="3"/>
  <c r="G562" i="3"/>
  <c r="D563" i="3"/>
  <c r="E563" i="3"/>
  <c r="F563" i="3"/>
  <c r="G563" i="3"/>
  <c r="D564" i="3"/>
  <c r="E564" i="3"/>
  <c r="F564" i="3"/>
  <c r="G564" i="3"/>
  <c r="D565" i="3"/>
  <c r="E565" i="3"/>
  <c r="F565" i="3"/>
  <c r="G565" i="3"/>
  <c r="D566" i="3"/>
  <c r="E566" i="3"/>
  <c r="F566" i="3"/>
  <c r="G566" i="3"/>
  <c r="D567" i="3"/>
  <c r="E567" i="3"/>
  <c r="F567" i="3"/>
  <c r="G567" i="3"/>
  <c r="D568" i="3"/>
  <c r="E568" i="3"/>
  <c r="F568" i="3"/>
  <c r="G568" i="3"/>
  <c r="D569" i="3"/>
  <c r="E569" i="3"/>
  <c r="F569" i="3"/>
  <c r="G569" i="3"/>
  <c r="D570" i="3"/>
  <c r="E570" i="3"/>
  <c r="F570" i="3"/>
  <c r="G570" i="3"/>
  <c r="D571" i="3"/>
  <c r="E571" i="3"/>
  <c r="F571" i="3"/>
  <c r="G571" i="3"/>
  <c r="D572" i="3"/>
  <c r="E572" i="3"/>
  <c r="F572" i="3"/>
  <c r="G572" i="3"/>
  <c r="D573" i="3"/>
  <c r="E573" i="3"/>
  <c r="F573" i="3"/>
  <c r="G573" i="3"/>
  <c r="D574" i="3"/>
  <c r="E574" i="3"/>
  <c r="F574" i="3"/>
  <c r="G574" i="3"/>
  <c r="D575" i="3"/>
  <c r="E575" i="3"/>
  <c r="F575" i="3"/>
  <c r="G575" i="3"/>
  <c r="D576" i="3"/>
  <c r="E576" i="3"/>
  <c r="F576" i="3"/>
  <c r="G576" i="3"/>
  <c r="D577" i="3"/>
  <c r="E577" i="3"/>
  <c r="F577" i="3"/>
  <c r="G577" i="3"/>
  <c r="D578" i="3"/>
  <c r="E578" i="3"/>
  <c r="F578" i="3"/>
  <c r="G578" i="3"/>
  <c r="D579" i="3"/>
  <c r="E579" i="3"/>
  <c r="F579" i="3"/>
  <c r="G579" i="3"/>
  <c r="D580" i="3"/>
  <c r="E580" i="3"/>
  <c r="F580" i="3"/>
  <c r="G580" i="3"/>
  <c r="D581" i="3"/>
  <c r="E581" i="3"/>
  <c r="F581" i="3"/>
  <c r="G581" i="3"/>
  <c r="D582" i="3"/>
  <c r="E582" i="3"/>
  <c r="F582" i="3"/>
  <c r="G582" i="3"/>
  <c r="D583" i="3"/>
  <c r="E583" i="3"/>
  <c r="F583" i="3"/>
  <c r="G583" i="3"/>
  <c r="D584" i="3"/>
  <c r="E584" i="3"/>
  <c r="F584" i="3"/>
  <c r="G584" i="3"/>
  <c r="D585" i="3"/>
  <c r="E585" i="3"/>
  <c r="F585" i="3"/>
  <c r="G585" i="3"/>
  <c r="D586" i="3"/>
  <c r="E586" i="3"/>
  <c r="F586" i="3"/>
  <c r="G586" i="3"/>
  <c r="D587" i="3"/>
  <c r="E587" i="3"/>
  <c r="F587" i="3"/>
  <c r="G587" i="3"/>
  <c r="D588" i="3"/>
  <c r="E588" i="3"/>
  <c r="F588" i="3"/>
  <c r="G588" i="3"/>
  <c r="D589" i="3"/>
  <c r="E589" i="3"/>
  <c r="F589" i="3"/>
  <c r="G589" i="3"/>
  <c r="D590" i="3"/>
  <c r="E590" i="3"/>
  <c r="F590" i="3"/>
  <c r="G590" i="3"/>
  <c r="D591" i="3"/>
  <c r="E591" i="3"/>
  <c r="F591" i="3"/>
  <c r="G591" i="3"/>
  <c r="D592" i="3"/>
  <c r="E592" i="3"/>
  <c r="F592" i="3"/>
  <c r="G592" i="3"/>
  <c r="D593" i="3"/>
  <c r="E593" i="3"/>
  <c r="F593" i="3"/>
  <c r="G593" i="3"/>
  <c r="D594" i="3"/>
  <c r="E594" i="3"/>
  <c r="F594" i="3"/>
  <c r="G594" i="3"/>
  <c r="D595" i="3"/>
  <c r="E595" i="3"/>
  <c r="F595" i="3"/>
  <c r="G595" i="3"/>
  <c r="D596" i="3"/>
  <c r="E596" i="3"/>
  <c r="F596" i="3"/>
  <c r="G596" i="3"/>
  <c r="D597" i="3"/>
  <c r="E597" i="3"/>
  <c r="F597" i="3"/>
  <c r="G597" i="3"/>
  <c r="D598" i="3"/>
  <c r="E598" i="3"/>
  <c r="F598" i="3"/>
  <c r="G598" i="3"/>
  <c r="D599" i="3"/>
  <c r="E599" i="3"/>
  <c r="F599" i="3"/>
  <c r="G599" i="3"/>
  <c r="D600" i="3"/>
  <c r="E600" i="3"/>
  <c r="F600" i="3"/>
  <c r="G600" i="3"/>
  <c r="D601" i="3"/>
  <c r="E601" i="3"/>
  <c r="F601" i="3"/>
  <c r="G601" i="3"/>
  <c r="D602" i="3"/>
  <c r="E602" i="3"/>
  <c r="F602" i="3"/>
  <c r="G602" i="3"/>
  <c r="D603" i="3"/>
  <c r="E603" i="3"/>
  <c r="F603" i="3"/>
  <c r="G603" i="3"/>
  <c r="D604" i="3"/>
  <c r="E604" i="3"/>
  <c r="F604" i="3"/>
  <c r="G604" i="3"/>
  <c r="D605" i="3"/>
  <c r="E605" i="3"/>
  <c r="F605" i="3"/>
  <c r="G605" i="3"/>
  <c r="D606" i="3"/>
  <c r="E606" i="3"/>
  <c r="F606" i="3"/>
  <c r="G606" i="3"/>
  <c r="D607" i="3"/>
  <c r="E607" i="3"/>
  <c r="F607" i="3"/>
  <c r="G607" i="3"/>
  <c r="D608" i="3"/>
  <c r="E608" i="3"/>
  <c r="F608" i="3"/>
  <c r="G608" i="3"/>
  <c r="D609" i="3"/>
  <c r="E609" i="3"/>
  <c r="F609" i="3"/>
  <c r="G609" i="3"/>
  <c r="D610" i="3"/>
  <c r="E610" i="3"/>
  <c r="F610" i="3"/>
  <c r="G610" i="3"/>
  <c r="D611" i="3"/>
  <c r="E611" i="3"/>
  <c r="F611" i="3"/>
  <c r="G611" i="3"/>
  <c r="D612" i="3"/>
  <c r="E612" i="3"/>
  <c r="F612" i="3"/>
  <c r="G612" i="3"/>
  <c r="D613" i="3"/>
  <c r="E613" i="3"/>
  <c r="F613" i="3"/>
  <c r="G613" i="3"/>
  <c r="D614" i="3"/>
  <c r="E614" i="3"/>
  <c r="F614" i="3"/>
  <c r="G614" i="3"/>
  <c r="D615" i="3"/>
  <c r="E615" i="3"/>
  <c r="F615" i="3"/>
  <c r="G615" i="3"/>
  <c r="D616" i="3"/>
  <c r="E616" i="3"/>
  <c r="F616" i="3"/>
  <c r="G616" i="3"/>
  <c r="D617" i="3"/>
  <c r="E617" i="3"/>
  <c r="F617" i="3"/>
  <c r="G617" i="3"/>
  <c r="D618" i="3"/>
  <c r="E618" i="3"/>
  <c r="F618" i="3"/>
  <c r="G618" i="3"/>
  <c r="D619" i="3"/>
  <c r="E619" i="3"/>
  <c r="F619" i="3"/>
  <c r="G619" i="3"/>
  <c r="D620" i="3"/>
  <c r="E620" i="3"/>
  <c r="F620" i="3"/>
  <c r="G620" i="3"/>
  <c r="D621" i="3"/>
  <c r="E621" i="3"/>
  <c r="F621" i="3"/>
  <c r="G621" i="3"/>
  <c r="D622" i="3"/>
  <c r="E622" i="3"/>
  <c r="F622" i="3"/>
  <c r="G622" i="3"/>
  <c r="D623" i="3"/>
  <c r="E623" i="3"/>
  <c r="F623" i="3"/>
  <c r="G623" i="3"/>
  <c r="D624" i="3"/>
  <c r="E624" i="3"/>
  <c r="F624" i="3"/>
  <c r="G624" i="3"/>
  <c r="D625" i="3"/>
  <c r="E625" i="3"/>
  <c r="F625" i="3"/>
  <c r="G625" i="3"/>
  <c r="D626" i="3"/>
  <c r="E626" i="3"/>
  <c r="F626" i="3"/>
  <c r="G626" i="3"/>
  <c r="D627" i="3"/>
  <c r="E627" i="3"/>
  <c r="F627" i="3"/>
  <c r="G627" i="3"/>
  <c r="D628" i="3"/>
  <c r="E628" i="3"/>
  <c r="F628" i="3"/>
  <c r="G628" i="3"/>
  <c r="D629" i="3"/>
  <c r="E629" i="3"/>
  <c r="F629" i="3"/>
  <c r="G629" i="3"/>
  <c r="D630" i="3"/>
  <c r="E630" i="3"/>
  <c r="F630" i="3"/>
  <c r="G630" i="3"/>
  <c r="D631" i="3"/>
  <c r="E631" i="3"/>
  <c r="F631" i="3"/>
  <c r="G631" i="3"/>
  <c r="D632" i="3"/>
  <c r="E632" i="3"/>
  <c r="F632" i="3"/>
  <c r="G632" i="3"/>
  <c r="D633" i="3"/>
  <c r="E633" i="3"/>
  <c r="F633" i="3"/>
  <c r="G633" i="3"/>
  <c r="D634" i="3"/>
  <c r="E634" i="3"/>
  <c r="F634" i="3"/>
  <c r="G634" i="3"/>
  <c r="D635" i="3"/>
  <c r="E635" i="3"/>
  <c r="F635" i="3"/>
  <c r="G635" i="3"/>
  <c r="D636" i="3"/>
  <c r="E636" i="3"/>
  <c r="F636" i="3"/>
  <c r="G636" i="3"/>
  <c r="D637" i="3"/>
  <c r="E637" i="3"/>
  <c r="F637" i="3"/>
  <c r="G637" i="3"/>
  <c r="D638" i="3"/>
  <c r="E638" i="3"/>
  <c r="F638" i="3"/>
  <c r="G638" i="3"/>
  <c r="D639" i="3"/>
  <c r="E639" i="3"/>
  <c r="F639" i="3"/>
  <c r="G639" i="3"/>
  <c r="D640" i="3"/>
  <c r="E640" i="3"/>
  <c r="F640" i="3"/>
  <c r="G640" i="3"/>
  <c r="D641" i="3"/>
  <c r="E641" i="3"/>
  <c r="F641" i="3"/>
  <c r="G641" i="3"/>
  <c r="D642" i="3"/>
  <c r="E642" i="3"/>
  <c r="F642" i="3"/>
  <c r="G642" i="3"/>
  <c r="D643" i="3"/>
  <c r="E643" i="3"/>
  <c r="F643" i="3"/>
  <c r="G643" i="3"/>
  <c r="D644" i="3"/>
  <c r="E644" i="3"/>
  <c r="F644" i="3"/>
  <c r="G644" i="3"/>
  <c r="D645" i="3"/>
  <c r="E645" i="3"/>
  <c r="F645" i="3"/>
  <c r="G645" i="3"/>
  <c r="D646" i="3"/>
  <c r="E646" i="3"/>
  <c r="F646" i="3"/>
  <c r="G646" i="3"/>
  <c r="D647" i="3"/>
  <c r="E647" i="3"/>
  <c r="F647" i="3"/>
  <c r="G647" i="3"/>
  <c r="D648" i="3"/>
  <c r="E648" i="3"/>
  <c r="F648" i="3"/>
  <c r="G648" i="3"/>
  <c r="D649" i="3"/>
  <c r="E649" i="3"/>
  <c r="F649" i="3"/>
  <c r="G649" i="3"/>
  <c r="D650" i="3"/>
  <c r="E650" i="3"/>
  <c r="F650" i="3"/>
  <c r="G650" i="3"/>
  <c r="D651" i="3"/>
  <c r="E651" i="3"/>
  <c r="F651" i="3"/>
  <c r="G651" i="3"/>
  <c r="D652" i="3"/>
  <c r="E652" i="3"/>
  <c r="F652" i="3"/>
  <c r="G652" i="3"/>
  <c r="D653" i="3"/>
  <c r="E653" i="3"/>
  <c r="F653" i="3"/>
  <c r="G653" i="3"/>
  <c r="D654" i="3"/>
  <c r="E654" i="3"/>
  <c r="F654" i="3"/>
  <c r="G654" i="3"/>
  <c r="D655" i="3"/>
  <c r="E655" i="3"/>
  <c r="F655" i="3"/>
  <c r="G655" i="3"/>
  <c r="D656" i="3"/>
  <c r="E656" i="3"/>
  <c r="F656" i="3"/>
  <c r="G656" i="3"/>
  <c r="D657" i="3"/>
  <c r="E657" i="3"/>
  <c r="F657" i="3"/>
  <c r="G657" i="3"/>
  <c r="D658" i="3"/>
  <c r="E658" i="3"/>
  <c r="F658" i="3"/>
  <c r="G658" i="3"/>
  <c r="D659" i="3"/>
  <c r="E659" i="3"/>
  <c r="F659" i="3"/>
  <c r="G659" i="3"/>
  <c r="D660" i="3"/>
  <c r="E660" i="3"/>
  <c r="F660" i="3"/>
  <c r="G660" i="3"/>
  <c r="D661" i="3"/>
  <c r="E661" i="3"/>
  <c r="F661" i="3"/>
  <c r="G661" i="3"/>
  <c r="D662" i="3"/>
  <c r="E662" i="3"/>
  <c r="F662" i="3"/>
  <c r="G662" i="3"/>
  <c r="D663" i="3"/>
  <c r="E663" i="3"/>
  <c r="F663" i="3"/>
  <c r="G663" i="3"/>
  <c r="D664" i="3"/>
  <c r="E664" i="3"/>
  <c r="F664" i="3"/>
  <c r="G664" i="3"/>
  <c r="D665" i="3"/>
  <c r="E665" i="3"/>
  <c r="F665" i="3"/>
  <c r="G665" i="3"/>
  <c r="D666" i="3"/>
  <c r="E666" i="3"/>
  <c r="F666" i="3"/>
  <c r="G666" i="3"/>
  <c r="D667" i="3"/>
  <c r="E667" i="3"/>
  <c r="F667" i="3"/>
  <c r="G667" i="3"/>
  <c r="D668" i="3"/>
  <c r="E668" i="3"/>
  <c r="F668" i="3"/>
  <c r="G668" i="3"/>
  <c r="D669" i="3"/>
  <c r="E669" i="3"/>
  <c r="F669" i="3"/>
  <c r="G669" i="3"/>
  <c r="D670" i="3"/>
  <c r="E670" i="3"/>
  <c r="F670" i="3"/>
  <c r="G670" i="3"/>
  <c r="D671" i="3"/>
  <c r="E671" i="3"/>
  <c r="F671" i="3"/>
  <c r="G671" i="3"/>
  <c r="D672" i="3"/>
  <c r="E672" i="3"/>
  <c r="F672" i="3"/>
  <c r="G672" i="3"/>
  <c r="D673" i="3"/>
  <c r="E673" i="3"/>
  <c r="F673" i="3"/>
  <c r="G673" i="3"/>
  <c r="D674" i="3"/>
  <c r="E674" i="3"/>
  <c r="F674" i="3"/>
  <c r="G674" i="3"/>
  <c r="D675" i="3"/>
  <c r="E675" i="3"/>
  <c r="F675" i="3"/>
  <c r="G675" i="3"/>
  <c r="D676" i="3"/>
  <c r="E676" i="3"/>
  <c r="F676" i="3"/>
  <c r="G676" i="3"/>
  <c r="D677" i="3"/>
  <c r="E677" i="3"/>
  <c r="F677" i="3"/>
  <c r="G677" i="3"/>
  <c r="D678" i="3"/>
  <c r="E678" i="3"/>
  <c r="F678" i="3"/>
  <c r="G678" i="3"/>
  <c r="D679" i="3"/>
  <c r="E679" i="3"/>
  <c r="F679" i="3"/>
  <c r="G679" i="3"/>
  <c r="D680" i="3"/>
  <c r="E680" i="3"/>
  <c r="F680" i="3"/>
  <c r="G680" i="3"/>
  <c r="D681" i="3"/>
  <c r="E681" i="3"/>
  <c r="F681" i="3"/>
  <c r="G681" i="3"/>
  <c r="D682" i="3"/>
  <c r="E682" i="3"/>
  <c r="F682" i="3"/>
  <c r="G682" i="3"/>
  <c r="D683" i="3"/>
  <c r="E683" i="3"/>
  <c r="F683" i="3"/>
  <c r="G683" i="3"/>
  <c r="D684" i="3"/>
  <c r="E684" i="3"/>
  <c r="F684" i="3"/>
  <c r="G684" i="3"/>
  <c r="D685" i="3"/>
  <c r="E685" i="3"/>
  <c r="F685" i="3"/>
  <c r="G685" i="3"/>
  <c r="D686" i="3"/>
  <c r="E686" i="3"/>
  <c r="F686" i="3"/>
  <c r="G686" i="3"/>
  <c r="D687" i="3"/>
  <c r="E687" i="3"/>
  <c r="F687" i="3"/>
  <c r="G687" i="3"/>
  <c r="D688" i="3"/>
  <c r="E688" i="3"/>
  <c r="F688" i="3"/>
  <c r="G688" i="3"/>
  <c r="D689" i="3"/>
  <c r="E689" i="3"/>
  <c r="F689" i="3"/>
  <c r="G689" i="3"/>
  <c r="D690" i="3"/>
  <c r="E690" i="3"/>
  <c r="F690" i="3"/>
  <c r="G690" i="3"/>
  <c r="D691" i="3"/>
  <c r="E691" i="3"/>
  <c r="F691" i="3"/>
  <c r="G691" i="3"/>
  <c r="D692" i="3"/>
  <c r="E692" i="3"/>
  <c r="F692" i="3"/>
  <c r="G692" i="3"/>
  <c r="D693" i="3"/>
  <c r="E693" i="3"/>
  <c r="F693" i="3"/>
  <c r="G693" i="3"/>
  <c r="D694" i="3"/>
  <c r="E694" i="3"/>
  <c r="F694" i="3"/>
  <c r="G694" i="3"/>
  <c r="D695" i="3"/>
  <c r="E695" i="3"/>
  <c r="F695" i="3"/>
  <c r="G695" i="3"/>
  <c r="D696" i="3"/>
  <c r="E696" i="3"/>
  <c r="F696" i="3"/>
  <c r="G696" i="3"/>
  <c r="D697" i="3"/>
  <c r="E697" i="3"/>
  <c r="F697" i="3"/>
  <c r="G697" i="3"/>
  <c r="D698" i="3"/>
  <c r="E698" i="3"/>
  <c r="F698" i="3"/>
  <c r="G698" i="3"/>
  <c r="D699" i="3"/>
  <c r="E699" i="3"/>
  <c r="F699" i="3"/>
  <c r="G699" i="3"/>
  <c r="D700" i="3"/>
  <c r="E700" i="3"/>
  <c r="F700" i="3"/>
  <c r="G700" i="3"/>
  <c r="D701" i="3"/>
  <c r="E701" i="3"/>
  <c r="F701" i="3"/>
  <c r="G701" i="3"/>
  <c r="D702" i="3"/>
  <c r="E702" i="3"/>
  <c r="F702" i="3"/>
  <c r="G702" i="3"/>
  <c r="D703" i="3"/>
  <c r="E703" i="3"/>
  <c r="F703" i="3"/>
  <c r="G703" i="3"/>
  <c r="D704" i="3"/>
  <c r="E704" i="3"/>
  <c r="F704" i="3"/>
  <c r="G704" i="3"/>
  <c r="D705" i="3"/>
  <c r="E705" i="3"/>
  <c r="F705" i="3"/>
  <c r="G705" i="3"/>
  <c r="D706" i="3"/>
  <c r="E706" i="3"/>
  <c r="F706" i="3"/>
  <c r="G706" i="3"/>
  <c r="D707" i="3"/>
  <c r="E707" i="3"/>
  <c r="F707" i="3"/>
  <c r="G707" i="3"/>
  <c r="D708" i="3"/>
  <c r="E708" i="3"/>
  <c r="F708" i="3"/>
  <c r="G708" i="3"/>
  <c r="D709" i="3"/>
  <c r="E709" i="3"/>
  <c r="F709" i="3"/>
  <c r="G709" i="3"/>
  <c r="D710" i="3"/>
  <c r="E710" i="3"/>
  <c r="F710" i="3"/>
  <c r="G710" i="3"/>
  <c r="D711" i="3"/>
  <c r="E711" i="3"/>
  <c r="F711" i="3"/>
  <c r="G711" i="3"/>
  <c r="D712" i="3"/>
  <c r="E712" i="3"/>
  <c r="F712" i="3"/>
  <c r="G712" i="3"/>
  <c r="D713" i="3"/>
  <c r="E713" i="3"/>
  <c r="F713" i="3"/>
  <c r="G713" i="3"/>
  <c r="D714" i="3"/>
  <c r="E714" i="3"/>
  <c r="F714" i="3"/>
  <c r="G714" i="3"/>
  <c r="D715" i="3"/>
  <c r="E715" i="3"/>
  <c r="F715" i="3"/>
  <c r="G715" i="3"/>
  <c r="D716" i="3"/>
  <c r="E716" i="3"/>
  <c r="F716" i="3"/>
  <c r="G716" i="3"/>
  <c r="D717" i="3"/>
  <c r="E717" i="3"/>
  <c r="F717" i="3"/>
  <c r="G717" i="3"/>
  <c r="D718" i="3"/>
  <c r="E718" i="3"/>
  <c r="F718" i="3"/>
  <c r="G718" i="3"/>
  <c r="D719" i="3"/>
  <c r="E719" i="3"/>
  <c r="F719" i="3"/>
  <c r="G719" i="3"/>
  <c r="D720" i="3"/>
  <c r="E720" i="3"/>
  <c r="F720" i="3"/>
  <c r="G720" i="3"/>
  <c r="D721" i="3"/>
  <c r="E721" i="3"/>
  <c r="F721" i="3"/>
  <c r="G721" i="3"/>
  <c r="D722" i="3"/>
  <c r="E722" i="3"/>
  <c r="F722" i="3"/>
  <c r="G722" i="3"/>
  <c r="D723" i="3"/>
  <c r="E723" i="3"/>
  <c r="F723" i="3"/>
  <c r="G723" i="3"/>
  <c r="D724" i="3"/>
  <c r="E724" i="3"/>
  <c r="F724" i="3"/>
  <c r="G724" i="3"/>
  <c r="D725" i="3"/>
  <c r="E725" i="3"/>
  <c r="F725" i="3"/>
  <c r="G725" i="3"/>
  <c r="D726" i="3"/>
  <c r="E726" i="3"/>
  <c r="F726" i="3"/>
  <c r="G726" i="3"/>
  <c r="D727" i="3"/>
  <c r="E727" i="3"/>
  <c r="F727" i="3"/>
  <c r="G727" i="3"/>
  <c r="D728" i="3"/>
  <c r="E728" i="3"/>
  <c r="F728" i="3"/>
  <c r="G728" i="3"/>
  <c r="D729" i="3"/>
  <c r="E729" i="3"/>
  <c r="F729" i="3"/>
  <c r="G729" i="3"/>
  <c r="D730" i="3"/>
  <c r="E730" i="3"/>
  <c r="F730" i="3"/>
  <c r="G730" i="3"/>
  <c r="D731" i="3"/>
  <c r="E731" i="3"/>
  <c r="F731" i="3"/>
  <c r="G731" i="3"/>
  <c r="D732" i="3"/>
  <c r="E732" i="3"/>
  <c r="F732" i="3"/>
  <c r="G732" i="3"/>
  <c r="D733" i="3"/>
  <c r="E733" i="3"/>
  <c r="F733" i="3"/>
  <c r="G733" i="3"/>
  <c r="D734" i="3"/>
  <c r="E734" i="3"/>
  <c r="F734" i="3"/>
  <c r="G734" i="3"/>
  <c r="D735" i="3"/>
  <c r="E735" i="3"/>
  <c r="F735" i="3"/>
  <c r="G735" i="3"/>
  <c r="D736" i="3"/>
  <c r="E736" i="3"/>
  <c r="F736" i="3"/>
  <c r="G736" i="3"/>
  <c r="D737" i="3"/>
  <c r="E737" i="3"/>
  <c r="F737" i="3"/>
  <c r="G737" i="3"/>
  <c r="D738" i="3"/>
  <c r="E738" i="3"/>
  <c r="F738" i="3"/>
  <c r="G738" i="3"/>
  <c r="D739" i="3"/>
  <c r="E739" i="3"/>
  <c r="F739" i="3"/>
  <c r="G739" i="3"/>
  <c r="D740" i="3"/>
  <c r="E740" i="3"/>
  <c r="F740" i="3"/>
  <c r="G740" i="3"/>
  <c r="D741" i="3"/>
  <c r="E741" i="3"/>
  <c r="F741" i="3"/>
  <c r="G741" i="3"/>
  <c r="D742" i="3"/>
  <c r="E742" i="3"/>
  <c r="F742" i="3"/>
  <c r="G742" i="3"/>
  <c r="D743" i="3"/>
  <c r="E743" i="3"/>
  <c r="F743" i="3"/>
  <c r="G743" i="3"/>
  <c r="D744" i="3"/>
  <c r="E744" i="3"/>
  <c r="F744" i="3"/>
  <c r="G744" i="3"/>
  <c r="D745" i="3"/>
  <c r="E745" i="3"/>
  <c r="F745" i="3"/>
  <c r="G745" i="3"/>
  <c r="D746" i="3"/>
  <c r="E746" i="3"/>
  <c r="F746" i="3"/>
  <c r="G746" i="3"/>
  <c r="D747" i="3"/>
  <c r="E747" i="3"/>
  <c r="F747" i="3"/>
  <c r="G747" i="3"/>
  <c r="D748" i="3"/>
  <c r="E748" i="3"/>
  <c r="F748" i="3"/>
  <c r="G748" i="3"/>
  <c r="D749" i="3"/>
  <c r="E749" i="3"/>
  <c r="F749" i="3"/>
  <c r="G749" i="3"/>
  <c r="D750" i="3"/>
  <c r="E750" i="3"/>
  <c r="F750" i="3"/>
  <c r="G750" i="3"/>
  <c r="D751" i="3"/>
  <c r="E751" i="3"/>
  <c r="F751" i="3"/>
  <c r="G751" i="3"/>
  <c r="D752" i="3"/>
  <c r="E752" i="3"/>
  <c r="F752" i="3"/>
  <c r="G752" i="3"/>
  <c r="D753" i="3"/>
  <c r="E753" i="3"/>
  <c r="F753" i="3"/>
  <c r="G753" i="3"/>
  <c r="D754" i="3"/>
  <c r="E754" i="3"/>
  <c r="F754" i="3"/>
  <c r="G754" i="3"/>
  <c r="D755" i="3"/>
  <c r="E755" i="3"/>
  <c r="F755" i="3"/>
  <c r="G755" i="3"/>
  <c r="D756" i="3"/>
  <c r="E756" i="3"/>
  <c r="F756" i="3"/>
  <c r="G756" i="3"/>
  <c r="D757" i="3"/>
  <c r="E757" i="3"/>
  <c r="F757" i="3"/>
  <c r="G757" i="3"/>
  <c r="D758" i="3"/>
  <c r="E758" i="3"/>
  <c r="F758" i="3"/>
  <c r="G758" i="3"/>
  <c r="D759" i="3"/>
  <c r="E759" i="3"/>
  <c r="F759" i="3"/>
  <c r="G759" i="3"/>
  <c r="D760" i="3"/>
  <c r="E760" i="3"/>
  <c r="F760" i="3"/>
  <c r="G760" i="3"/>
  <c r="D761" i="3"/>
  <c r="E761" i="3"/>
  <c r="F761" i="3"/>
  <c r="G761" i="3"/>
  <c r="D762" i="3"/>
  <c r="E762" i="3"/>
  <c r="F762" i="3"/>
  <c r="G762" i="3"/>
  <c r="D763" i="3"/>
  <c r="E763" i="3"/>
  <c r="F763" i="3"/>
  <c r="G763" i="3"/>
  <c r="D764" i="3"/>
  <c r="E764" i="3"/>
  <c r="F764" i="3"/>
  <c r="G764" i="3"/>
  <c r="D765" i="3"/>
  <c r="E765" i="3"/>
  <c r="F765" i="3"/>
  <c r="G765" i="3"/>
  <c r="D766" i="3"/>
  <c r="E766" i="3"/>
  <c r="F766" i="3"/>
  <c r="G766" i="3"/>
  <c r="D767" i="3"/>
  <c r="E767" i="3"/>
  <c r="F767" i="3"/>
  <c r="G767" i="3"/>
  <c r="D768" i="3"/>
  <c r="E768" i="3"/>
  <c r="F768" i="3"/>
  <c r="G768" i="3"/>
  <c r="D769" i="3"/>
  <c r="E769" i="3"/>
  <c r="F769" i="3"/>
  <c r="G769" i="3"/>
  <c r="D770" i="3"/>
  <c r="E770" i="3"/>
  <c r="F770" i="3"/>
  <c r="G770" i="3"/>
  <c r="D771" i="3"/>
  <c r="E771" i="3"/>
  <c r="F771" i="3"/>
  <c r="G771" i="3"/>
  <c r="D772" i="3"/>
  <c r="E772" i="3"/>
  <c r="F772" i="3"/>
  <c r="G772" i="3"/>
  <c r="D773" i="3"/>
  <c r="E773" i="3"/>
  <c r="F773" i="3"/>
  <c r="G773" i="3"/>
  <c r="D774" i="3"/>
  <c r="E774" i="3"/>
  <c r="F774" i="3"/>
  <c r="G774" i="3"/>
  <c r="D775" i="3"/>
  <c r="E775" i="3"/>
  <c r="F775" i="3"/>
  <c r="G775" i="3"/>
  <c r="D776" i="3"/>
  <c r="E776" i="3"/>
  <c r="F776" i="3"/>
  <c r="G776" i="3"/>
  <c r="D777" i="3"/>
  <c r="E777" i="3"/>
  <c r="F777" i="3"/>
  <c r="G777" i="3"/>
  <c r="D778" i="3"/>
  <c r="E778" i="3"/>
  <c r="F778" i="3"/>
  <c r="G778" i="3"/>
  <c r="D779" i="3"/>
  <c r="E779" i="3"/>
  <c r="F779" i="3"/>
  <c r="G779" i="3"/>
  <c r="D780" i="3"/>
  <c r="E780" i="3"/>
  <c r="F780" i="3"/>
  <c r="G780" i="3"/>
  <c r="D781" i="3"/>
  <c r="E781" i="3"/>
  <c r="F781" i="3"/>
  <c r="G781" i="3"/>
  <c r="D782" i="3"/>
  <c r="E782" i="3"/>
  <c r="F782" i="3"/>
  <c r="G782" i="3"/>
  <c r="D783" i="3"/>
  <c r="E783" i="3"/>
  <c r="F783" i="3"/>
  <c r="G783" i="3"/>
  <c r="D784" i="3"/>
  <c r="E784" i="3"/>
  <c r="F784" i="3"/>
  <c r="G784" i="3"/>
  <c r="D785" i="3"/>
  <c r="E785" i="3"/>
  <c r="F785" i="3"/>
  <c r="G785" i="3"/>
  <c r="D786" i="3"/>
  <c r="E786" i="3"/>
  <c r="F786" i="3"/>
  <c r="G786" i="3"/>
  <c r="D787" i="3"/>
  <c r="E787" i="3"/>
  <c r="F787" i="3"/>
  <c r="G787" i="3"/>
  <c r="D788" i="3"/>
  <c r="E788" i="3"/>
  <c r="F788" i="3"/>
  <c r="G788" i="3"/>
  <c r="D789" i="3"/>
  <c r="E789" i="3"/>
  <c r="F789" i="3"/>
  <c r="G789" i="3"/>
  <c r="D790" i="3"/>
  <c r="E790" i="3"/>
  <c r="F790" i="3"/>
  <c r="G790" i="3"/>
  <c r="D791" i="3"/>
  <c r="E791" i="3"/>
  <c r="F791" i="3"/>
  <c r="G791" i="3"/>
  <c r="D792" i="3"/>
  <c r="E792" i="3"/>
  <c r="F792" i="3"/>
  <c r="G792" i="3"/>
  <c r="D793" i="3"/>
  <c r="E793" i="3"/>
  <c r="F793" i="3"/>
  <c r="G793" i="3"/>
  <c r="D794" i="3"/>
  <c r="E794" i="3"/>
  <c r="F794" i="3"/>
  <c r="G794" i="3"/>
  <c r="D795" i="3"/>
  <c r="E795" i="3"/>
  <c r="F795" i="3"/>
  <c r="G795" i="3"/>
  <c r="D796" i="3"/>
  <c r="E796" i="3"/>
  <c r="F796" i="3"/>
  <c r="G796" i="3"/>
  <c r="D797" i="3"/>
  <c r="E797" i="3"/>
  <c r="F797" i="3"/>
  <c r="G797" i="3"/>
  <c r="D798" i="3"/>
  <c r="E798" i="3"/>
  <c r="F798" i="3"/>
  <c r="G798" i="3"/>
  <c r="D799" i="3"/>
  <c r="E799" i="3"/>
  <c r="F799" i="3"/>
  <c r="G799" i="3"/>
  <c r="D800" i="3"/>
  <c r="E800" i="3"/>
  <c r="F800" i="3"/>
  <c r="G800" i="3"/>
  <c r="D801" i="3"/>
  <c r="E801" i="3"/>
  <c r="F801" i="3"/>
  <c r="G801" i="3"/>
  <c r="D802" i="3"/>
  <c r="E802" i="3"/>
  <c r="F802" i="3"/>
  <c r="G802" i="3"/>
  <c r="D803" i="3"/>
  <c r="E803" i="3"/>
  <c r="F803" i="3"/>
  <c r="G803" i="3"/>
  <c r="D804" i="3"/>
  <c r="E804" i="3"/>
  <c r="F804" i="3"/>
  <c r="G804" i="3"/>
  <c r="D805" i="3"/>
  <c r="E805" i="3"/>
  <c r="F805" i="3"/>
  <c r="G805" i="3"/>
  <c r="D806" i="3"/>
  <c r="E806" i="3"/>
  <c r="F806" i="3"/>
  <c r="G806" i="3"/>
  <c r="D807" i="3"/>
  <c r="E807" i="3"/>
  <c r="F807" i="3"/>
  <c r="G807" i="3"/>
  <c r="D808" i="3"/>
  <c r="E808" i="3"/>
  <c r="F808" i="3"/>
  <c r="G808" i="3"/>
  <c r="D809" i="3"/>
  <c r="E809" i="3"/>
  <c r="F809" i="3"/>
  <c r="G809" i="3"/>
  <c r="D810" i="3"/>
  <c r="E810" i="3"/>
  <c r="F810" i="3"/>
  <c r="G810" i="3"/>
  <c r="D811" i="3"/>
  <c r="E811" i="3"/>
  <c r="F811" i="3"/>
  <c r="G811" i="3"/>
  <c r="D812" i="3"/>
  <c r="E812" i="3"/>
  <c r="F812" i="3"/>
  <c r="G812" i="3"/>
  <c r="D813" i="3"/>
  <c r="E813" i="3"/>
  <c r="F813" i="3"/>
  <c r="G813" i="3"/>
  <c r="D814" i="3"/>
  <c r="E814" i="3"/>
  <c r="F814" i="3"/>
  <c r="G814" i="3"/>
  <c r="D815" i="3"/>
  <c r="E815" i="3"/>
  <c r="F815" i="3"/>
  <c r="G815" i="3"/>
  <c r="D816" i="3"/>
  <c r="E816" i="3"/>
  <c r="F816" i="3"/>
  <c r="G816" i="3"/>
  <c r="D817" i="3"/>
  <c r="E817" i="3"/>
  <c r="F817" i="3"/>
  <c r="G817" i="3"/>
  <c r="D818" i="3"/>
  <c r="E818" i="3"/>
  <c r="F818" i="3"/>
  <c r="G818" i="3"/>
  <c r="D819" i="3"/>
  <c r="E819" i="3"/>
  <c r="F819" i="3"/>
  <c r="G819" i="3"/>
  <c r="D820" i="3"/>
  <c r="E820" i="3"/>
  <c r="F820" i="3"/>
  <c r="G820" i="3"/>
  <c r="D821" i="3"/>
  <c r="E821" i="3"/>
  <c r="F821" i="3"/>
  <c r="G821" i="3"/>
  <c r="D822" i="3"/>
  <c r="E822" i="3"/>
  <c r="F822" i="3"/>
  <c r="G822" i="3"/>
  <c r="D823" i="3"/>
  <c r="E823" i="3"/>
  <c r="F823" i="3"/>
  <c r="G823" i="3"/>
  <c r="D824" i="3"/>
  <c r="E824" i="3"/>
  <c r="F824" i="3"/>
  <c r="G824" i="3"/>
  <c r="D825" i="3"/>
  <c r="E825" i="3"/>
  <c r="F825" i="3"/>
  <c r="G825" i="3"/>
  <c r="D826" i="3"/>
  <c r="E826" i="3"/>
  <c r="F826" i="3"/>
  <c r="G826" i="3"/>
  <c r="D827" i="3"/>
  <c r="E827" i="3"/>
  <c r="F827" i="3"/>
  <c r="G827" i="3"/>
  <c r="D828" i="3"/>
  <c r="E828" i="3"/>
  <c r="F828" i="3"/>
  <c r="G828" i="3"/>
  <c r="D829" i="3"/>
  <c r="E829" i="3"/>
  <c r="F829" i="3"/>
  <c r="G829" i="3"/>
  <c r="D830" i="3"/>
  <c r="E830" i="3"/>
  <c r="F830" i="3"/>
  <c r="G830" i="3"/>
  <c r="D831" i="3"/>
  <c r="E831" i="3"/>
  <c r="F831" i="3"/>
  <c r="G831" i="3"/>
  <c r="D832" i="3"/>
  <c r="E832" i="3"/>
  <c r="F832" i="3"/>
  <c r="G832" i="3"/>
  <c r="D833" i="3"/>
  <c r="E833" i="3"/>
  <c r="F833" i="3"/>
  <c r="G833" i="3"/>
  <c r="D834" i="3"/>
  <c r="E834" i="3"/>
  <c r="F834" i="3"/>
  <c r="G834" i="3"/>
  <c r="D835" i="3"/>
  <c r="E835" i="3"/>
  <c r="F835" i="3"/>
  <c r="G835" i="3"/>
  <c r="D836" i="3"/>
  <c r="E836" i="3"/>
  <c r="F836" i="3"/>
  <c r="G836" i="3"/>
  <c r="D837" i="3"/>
  <c r="E837" i="3"/>
  <c r="F837" i="3"/>
  <c r="G837" i="3"/>
  <c r="D838" i="3"/>
  <c r="E838" i="3"/>
  <c r="F838" i="3"/>
  <c r="G838" i="3"/>
  <c r="D839" i="3"/>
  <c r="E839" i="3"/>
  <c r="F839" i="3"/>
  <c r="G839" i="3"/>
  <c r="D840" i="3"/>
  <c r="E840" i="3"/>
  <c r="F840" i="3"/>
  <c r="G840" i="3"/>
  <c r="D841" i="3"/>
  <c r="E841" i="3"/>
  <c r="F841" i="3"/>
  <c r="G841" i="3"/>
  <c r="D842" i="3"/>
  <c r="E842" i="3"/>
  <c r="F842" i="3"/>
  <c r="G842" i="3"/>
  <c r="D843" i="3"/>
  <c r="E843" i="3"/>
  <c r="F843" i="3"/>
  <c r="G843" i="3"/>
  <c r="D844" i="3"/>
  <c r="E844" i="3"/>
  <c r="F844" i="3"/>
  <c r="G844" i="3"/>
  <c r="D845" i="3"/>
  <c r="E845" i="3"/>
  <c r="F845" i="3"/>
  <c r="G845" i="3"/>
  <c r="D846" i="3"/>
  <c r="E846" i="3"/>
  <c r="F846" i="3"/>
  <c r="G846" i="3"/>
  <c r="D847" i="3"/>
  <c r="E847" i="3"/>
  <c r="F847" i="3"/>
  <c r="G847" i="3"/>
  <c r="D848" i="3"/>
  <c r="E848" i="3"/>
  <c r="F848" i="3"/>
  <c r="G848" i="3"/>
  <c r="D849" i="3"/>
  <c r="E849" i="3"/>
  <c r="F849" i="3"/>
  <c r="G849" i="3"/>
  <c r="D850" i="3"/>
  <c r="E850" i="3"/>
  <c r="F850" i="3"/>
  <c r="G850" i="3"/>
  <c r="D851" i="3"/>
  <c r="E851" i="3"/>
  <c r="F851" i="3"/>
  <c r="G851" i="3"/>
  <c r="D852" i="3"/>
  <c r="E852" i="3"/>
  <c r="F852" i="3"/>
  <c r="G852" i="3"/>
  <c r="D853" i="3"/>
  <c r="E853" i="3"/>
  <c r="F853" i="3"/>
  <c r="G853" i="3"/>
  <c r="D854" i="3"/>
  <c r="E854" i="3"/>
  <c r="F854" i="3"/>
  <c r="G854" i="3"/>
  <c r="D855" i="3"/>
  <c r="E855" i="3"/>
  <c r="F855" i="3"/>
  <c r="G855" i="3"/>
  <c r="D856" i="3"/>
  <c r="E856" i="3"/>
  <c r="F856" i="3"/>
  <c r="G856" i="3"/>
  <c r="D857" i="3"/>
  <c r="E857" i="3"/>
  <c r="F857" i="3"/>
  <c r="G857" i="3"/>
  <c r="D858" i="3"/>
  <c r="E858" i="3"/>
  <c r="F858" i="3"/>
  <c r="G858" i="3"/>
  <c r="D859" i="3"/>
  <c r="E859" i="3"/>
  <c r="F859" i="3"/>
  <c r="G859" i="3"/>
  <c r="D860" i="3"/>
  <c r="E860" i="3"/>
  <c r="F860" i="3"/>
  <c r="G860" i="3"/>
  <c r="D861" i="3"/>
  <c r="E861" i="3"/>
  <c r="F861" i="3"/>
  <c r="G861" i="3"/>
  <c r="D862" i="3"/>
  <c r="E862" i="3"/>
  <c r="F862" i="3"/>
  <c r="G862" i="3"/>
  <c r="D863" i="3"/>
  <c r="E863" i="3"/>
  <c r="F863" i="3"/>
  <c r="G863" i="3"/>
  <c r="D864" i="3"/>
  <c r="E864" i="3"/>
  <c r="F864" i="3"/>
  <c r="G864" i="3"/>
  <c r="D865" i="3"/>
  <c r="E865" i="3"/>
  <c r="F865" i="3"/>
  <c r="G865" i="3"/>
  <c r="D866" i="3"/>
  <c r="E866" i="3"/>
  <c r="F866" i="3"/>
  <c r="G866" i="3"/>
  <c r="D867" i="3"/>
  <c r="E867" i="3"/>
  <c r="F867" i="3"/>
  <c r="G867" i="3"/>
  <c r="D868" i="3"/>
  <c r="E868" i="3"/>
  <c r="F868" i="3"/>
  <c r="G868" i="3"/>
  <c r="D869" i="3"/>
  <c r="E869" i="3"/>
  <c r="F869" i="3"/>
  <c r="G869" i="3"/>
  <c r="D870" i="3"/>
  <c r="E870" i="3"/>
  <c r="F870" i="3"/>
  <c r="G870" i="3"/>
  <c r="D871" i="3"/>
  <c r="E871" i="3"/>
  <c r="F871" i="3"/>
  <c r="G871" i="3"/>
  <c r="D872" i="3"/>
  <c r="E872" i="3"/>
  <c r="F872" i="3"/>
  <c r="G872" i="3"/>
  <c r="D873" i="3"/>
  <c r="E873" i="3"/>
  <c r="F873" i="3"/>
  <c r="G873" i="3"/>
  <c r="D874" i="3"/>
  <c r="E874" i="3"/>
  <c r="F874" i="3"/>
  <c r="G874" i="3"/>
  <c r="D875" i="3"/>
  <c r="E875" i="3"/>
  <c r="F875" i="3"/>
  <c r="G875" i="3"/>
  <c r="D876" i="3"/>
  <c r="E876" i="3"/>
  <c r="F876" i="3"/>
  <c r="G876" i="3"/>
  <c r="D877" i="3"/>
  <c r="E877" i="3"/>
  <c r="F877" i="3"/>
  <c r="G877" i="3"/>
  <c r="D878" i="3"/>
  <c r="E878" i="3"/>
  <c r="F878" i="3"/>
  <c r="G878" i="3"/>
  <c r="D879" i="3"/>
  <c r="E879" i="3"/>
  <c r="F879" i="3"/>
  <c r="G879" i="3"/>
  <c r="D880" i="3"/>
  <c r="E880" i="3"/>
  <c r="F880" i="3"/>
  <c r="G880" i="3"/>
  <c r="D881" i="3"/>
  <c r="E881" i="3"/>
  <c r="F881" i="3"/>
  <c r="G881" i="3"/>
  <c r="D882" i="3"/>
  <c r="E882" i="3"/>
  <c r="F882" i="3"/>
  <c r="G882" i="3"/>
  <c r="D883" i="3"/>
  <c r="E883" i="3"/>
  <c r="F883" i="3"/>
  <c r="G883" i="3"/>
  <c r="D884" i="3"/>
  <c r="E884" i="3"/>
  <c r="F884" i="3"/>
  <c r="G884" i="3"/>
  <c r="D885" i="3"/>
  <c r="E885" i="3"/>
  <c r="F885" i="3"/>
  <c r="G885" i="3"/>
  <c r="D886" i="3"/>
  <c r="E886" i="3"/>
  <c r="F886" i="3"/>
  <c r="G886" i="3"/>
  <c r="D887" i="3"/>
  <c r="E887" i="3"/>
  <c r="F887" i="3"/>
  <c r="G887" i="3"/>
  <c r="D888" i="3"/>
  <c r="E888" i="3"/>
  <c r="F888" i="3"/>
  <c r="G888" i="3"/>
  <c r="D889" i="3"/>
  <c r="E889" i="3"/>
  <c r="F889" i="3"/>
  <c r="G889" i="3"/>
  <c r="D890" i="3"/>
  <c r="E890" i="3"/>
  <c r="F890" i="3"/>
  <c r="G890" i="3"/>
  <c r="D891" i="3"/>
  <c r="E891" i="3"/>
  <c r="F891" i="3"/>
  <c r="G891" i="3"/>
  <c r="D892" i="3"/>
  <c r="E892" i="3"/>
  <c r="F892" i="3"/>
  <c r="G892" i="3"/>
  <c r="D893" i="3"/>
  <c r="E893" i="3"/>
  <c r="F893" i="3"/>
  <c r="G893" i="3"/>
  <c r="D894" i="3"/>
  <c r="E894" i="3"/>
  <c r="F894" i="3"/>
  <c r="G894" i="3"/>
  <c r="D895" i="3"/>
  <c r="E895" i="3"/>
  <c r="F895" i="3"/>
  <c r="G895" i="3"/>
  <c r="D896" i="3"/>
  <c r="E896" i="3"/>
  <c r="F896" i="3"/>
  <c r="G896" i="3"/>
  <c r="D897" i="3"/>
  <c r="E897" i="3"/>
  <c r="F897" i="3"/>
  <c r="G897" i="3"/>
  <c r="D898" i="3"/>
  <c r="E898" i="3"/>
  <c r="F898" i="3"/>
  <c r="G898" i="3"/>
  <c r="D899" i="3"/>
  <c r="E899" i="3"/>
  <c r="F899" i="3"/>
  <c r="G899" i="3"/>
  <c r="F3" i="3"/>
  <c r="E3" i="3"/>
  <c r="G3" i="3"/>
  <c r="D4" i="3"/>
  <c r="E4" i="3"/>
  <c r="D5" i="3"/>
  <c r="E5" i="3"/>
  <c r="G5" i="3" s="1"/>
  <c r="D6" i="3"/>
  <c r="F6" i="3" s="1"/>
  <c r="E6" i="3"/>
  <c r="G6" i="3"/>
  <c r="D7" i="3"/>
  <c r="G7" i="3" s="1"/>
  <c r="E7" i="3"/>
  <c r="D8" i="3"/>
  <c r="E8" i="3"/>
  <c r="D9" i="3"/>
  <c r="E9" i="3"/>
  <c r="G9" i="3" s="1"/>
  <c r="D10" i="3"/>
  <c r="F10" i="3" s="1"/>
  <c r="E10" i="3"/>
  <c r="G10" i="3"/>
  <c r="D11" i="3"/>
  <c r="G11" i="3" s="1"/>
  <c r="E11" i="3"/>
  <c r="D12" i="3"/>
  <c r="E12" i="3"/>
  <c r="D13" i="3"/>
  <c r="E13" i="3"/>
  <c r="G13" i="3" s="1"/>
  <c r="D14" i="3"/>
  <c r="F14" i="3" s="1"/>
  <c r="E14" i="3"/>
  <c r="G14" i="3"/>
  <c r="D15" i="3"/>
  <c r="G15" i="3" s="1"/>
  <c r="E15" i="3"/>
  <c r="D16" i="3"/>
  <c r="E16" i="3"/>
  <c r="D17" i="3"/>
  <c r="E17" i="3"/>
  <c r="G17" i="3" s="1"/>
  <c r="D18" i="3"/>
  <c r="F18" i="3" s="1"/>
  <c r="E18" i="3"/>
  <c r="G18" i="3"/>
  <c r="D19" i="3"/>
  <c r="G19" i="3" s="1"/>
  <c r="E19" i="3"/>
  <c r="D20" i="3"/>
  <c r="E20" i="3"/>
  <c r="D21" i="3"/>
  <c r="E21" i="3"/>
  <c r="G21" i="3" s="1"/>
  <c r="D22" i="3"/>
  <c r="F22" i="3" s="1"/>
  <c r="E22" i="3"/>
  <c r="G22" i="3"/>
  <c r="D23" i="3"/>
  <c r="G23" i="3" s="1"/>
  <c r="E23" i="3"/>
  <c r="D24" i="3"/>
  <c r="E24" i="3"/>
  <c r="D25" i="3"/>
  <c r="E25" i="3"/>
  <c r="G25" i="3" s="1"/>
  <c r="D26" i="3"/>
  <c r="F26" i="3" s="1"/>
  <c r="E26" i="3"/>
  <c r="G26" i="3"/>
  <c r="D27" i="3"/>
  <c r="G27" i="3" s="1"/>
  <c r="E27" i="3"/>
  <c r="D28" i="3"/>
  <c r="E28" i="3"/>
  <c r="D29" i="3"/>
  <c r="E29" i="3"/>
  <c r="G29" i="3" s="1"/>
  <c r="D30" i="3"/>
  <c r="F30" i="3" s="1"/>
  <c r="E30" i="3"/>
  <c r="G30" i="3"/>
  <c r="D31" i="3"/>
  <c r="G31" i="3" s="1"/>
  <c r="E31" i="3"/>
  <c r="D32" i="3"/>
  <c r="E32" i="3"/>
  <c r="D33" i="3"/>
  <c r="E33" i="3"/>
  <c r="G33" i="3" s="1"/>
  <c r="D34" i="3"/>
  <c r="F34" i="3" s="1"/>
  <c r="E34" i="3"/>
  <c r="G34" i="3"/>
  <c r="D35" i="3"/>
  <c r="G35" i="3" s="1"/>
  <c r="E35" i="3"/>
  <c r="D36" i="3"/>
  <c r="E36" i="3"/>
  <c r="D37" i="3"/>
  <c r="E37" i="3"/>
  <c r="G37" i="3" s="1"/>
  <c r="D38" i="3"/>
  <c r="F38" i="3" s="1"/>
  <c r="E38" i="3"/>
  <c r="G38" i="3"/>
  <c r="D39" i="3"/>
  <c r="G39" i="3" s="1"/>
  <c r="E39" i="3"/>
  <c r="D40" i="3"/>
  <c r="E40" i="3"/>
  <c r="D41" i="3"/>
  <c r="E41" i="3"/>
  <c r="G41" i="3" s="1"/>
  <c r="D42" i="3"/>
  <c r="F42" i="3" s="1"/>
  <c r="E42" i="3"/>
  <c r="G42" i="3"/>
  <c r="D43" i="3"/>
  <c r="G43" i="3" s="1"/>
  <c r="E43" i="3"/>
  <c r="D44" i="3"/>
  <c r="E44" i="3"/>
  <c r="D45" i="3"/>
  <c r="E45" i="3"/>
  <c r="G45" i="3" s="1"/>
  <c r="D46" i="3"/>
  <c r="F46" i="3" s="1"/>
  <c r="E46" i="3"/>
  <c r="G46" i="3"/>
  <c r="D47" i="3"/>
  <c r="G47" i="3" s="1"/>
  <c r="E47" i="3"/>
  <c r="D48" i="3"/>
  <c r="E48" i="3"/>
  <c r="D49" i="3"/>
  <c r="E49" i="3"/>
  <c r="G49" i="3" s="1"/>
  <c r="D50" i="3"/>
  <c r="F50" i="3" s="1"/>
  <c r="E50" i="3"/>
  <c r="G50" i="3"/>
  <c r="D51" i="3"/>
  <c r="G51" i="3" s="1"/>
  <c r="E51" i="3"/>
  <c r="D52" i="3"/>
  <c r="E52" i="3"/>
  <c r="D53" i="3"/>
  <c r="E53" i="3"/>
  <c r="G53" i="3" s="1"/>
  <c r="D54" i="3"/>
  <c r="F54" i="3" s="1"/>
  <c r="E54" i="3"/>
  <c r="G54" i="3"/>
  <c r="D55" i="3"/>
  <c r="G55" i="3" s="1"/>
  <c r="E55" i="3"/>
  <c r="D56" i="3"/>
  <c r="E56" i="3"/>
  <c r="D57" i="3"/>
  <c r="E57" i="3"/>
  <c r="G57" i="3" s="1"/>
  <c r="D58" i="3"/>
  <c r="F58" i="3" s="1"/>
  <c r="E58" i="3"/>
  <c r="G58" i="3"/>
  <c r="D59" i="3"/>
  <c r="G59" i="3" s="1"/>
  <c r="E59" i="3"/>
  <c r="D60" i="3"/>
  <c r="E60" i="3"/>
  <c r="D61" i="3"/>
  <c r="E61" i="3"/>
  <c r="G61" i="3" s="1"/>
  <c r="D62" i="3"/>
  <c r="F62" i="3" s="1"/>
  <c r="E62" i="3"/>
  <c r="G62" i="3"/>
  <c r="D63" i="3"/>
  <c r="G63" i="3" s="1"/>
  <c r="E63" i="3"/>
  <c r="D64" i="3"/>
  <c r="E64" i="3"/>
  <c r="D65" i="3"/>
  <c r="E65" i="3"/>
  <c r="G65" i="3" s="1"/>
  <c r="D66" i="3"/>
  <c r="F66" i="3" s="1"/>
  <c r="E66" i="3"/>
  <c r="G66" i="3"/>
  <c r="D67" i="3"/>
  <c r="G67" i="3" s="1"/>
  <c r="E67" i="3"/>
  <c r="D68" i="3"/>
  <c r="E68" i="3"/>
  <c r="D69" i="3"/>
  <c r="E69" i="3"/>
  <c r="G69" i="3" s="1"/>
  <c r="D70" i="3"/>
  <c r="F70" i="3" s="1"/>
  <c r="E70" i="3"/>
  <c r="G70" i="3"/>
  <c r="D71" i="3"/>
  <c r="G71" i="3" s="1"/>
  <c r="E71" i="3"/>
  <c r="D72" i="3"/>
  <c r="E72" i="3"/>
  <c r="D73" i="3"/>
  <c r="E73" i="3"/>
  <c r="G73" i="3" s="1"/>
  <c r="D74" i="3"/>
  <c r="F74" i="3" s="1"/>
  <c r="E74" i="3"/>
  <c r="G74" i="3"/>
  <c r="D75" i="3"/>
  <c r="G75" i="3" s="1"/>
  <c r="E75" i="3"/>
  <c r="D76" i="3"/>
  <c r="E76" i="3"/>
  <c r="D77" i="3"/>
  <c r="E77" i="3"/>
  <c r="G77" i="3" s="1"/>
  <c r="D78" i="3"/>
  <c r="F78" i="3" s="1"/>
  <c r="E78" i="3"/>
  <c r="G78" i="3"/>
  <c r="D79" i="3"/>
  <c r="G79" i="3" s="1"/>
  <c r="E79" i="3"/>
  <c r="D80" i="3"/>
  <c r="E80" i="3"/>
  <c r="D81" i="3"/>
  <c r="E81" i="3"/>
  <c r="G81" i="3" s="1"/>
  <c r="D82" i="3"/>
  <c r="F82" i="3" s="1"/>
  <c r="E82" i="3"/>
  <c r="G82" i="3"/>
  <c r="D83" i="3"/>
  <c r="G83" i="3" s="1"/>
  <c r="E83" i="3"/>
  <c r="D84" i="3"/>
  <c r="E84" i="3"/>
  <c r="D85" i="3"/>
  <c r="E85" i="3"/>
  <c r="G85" i="3" s="1"/>
  <c r="D86" i="3"/>
  <c r="F86" i="3" s="1"/>
  <c r="E86" i="3"/>
  <c r="G86" i="3"/>
  <c r="D87" i="3"/>
  <c r="G87" i="3" s="1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G152" i="3" s="1"/>
  <c r="E152" i="3"/>
  <c r="D153" i="3"/>
  <c r="G153" i="3" s="1"/>
  <c r="E153" i="3"/>
  <c r="D154" i="3"/>
  <c r="E154" i="3"/>
  <c r="F154" i="3" s="1"/>
  <c r="D155" i="3"/>
  <c r="G155" i="3" s="1"/>
  <c r="E155" i="3"/>
  <c r="F155" i="3"/>
  <c r="D156" i="3"/>
  <c r="G156" i="3" s="1"/>
  <c r="E156" i="3"/>
  <c r="D157" i="3"/>
  <c r="G157" i="3" s="1"/>
  <c r="E157" i="3"/>
  <c r="D158" i="3"/>
  <c r="E158" i="3"/>
  <c r="F158" i="3" s="1"/>
  <c r="D159" i="3"/>
  <c r="G159" i="3" s="1"/>
  <c r="E159" i="3"/>
  <c r="F159" i="3"/>
  <c r="D160" i="3"/>
  <c r="G160" i="3" s="1"/>
  <c r="E160" i="3"/>
  <c r="D161" i="3"/>
  <c r="G161" i="3" s="1"/>
  <c r="E161" i="3"/>
  <c r="D162" i="3"/>
  <c r="E162" i="3"/>
  <c r="F162" i="3" s="1"/>
  <c r="D163" i="3"/>
  <c r="G163" i="3" s="1"/>
  <c r="E163" i="3"/>
  <c r="F163" i="3"/>
  <c r="D164" i="3"/>
  <c r="G164" i="3" s="1"/>
  <c r="E164" i="3"/>
  <c r="D165" i="3"/>
  <c r="G165" i="3" s="1"/>
  <c r="E165" i="3"/>
  <c r="D166" i="3"/>
  <c r="E166" i="3"/>
  <c r="F166" i="3" s="1"/>
  <c r="D167" i="3"/>
  <c r="G167" i="3" s="1"/>
  <c r="E167" i="3"/>
  <c r="F167" i="3"/>
  <c r="D168" i="3"/>
  <c r="G168" i="3" s="1"/>
  <c r="E168" i="3"/>
  <c r="D169" i="3"/>
  <c r="G169" i="3" s="1"/>
  <c r="E169" i="3"/>
  <c r="D170" i="3"/>
  <c r="E170" i="3"/>
  <c r="F170" i="3" s="1"/>
  <c r="D171" i="3"/>
  <c r="G171" i="3" s="1"/>
  <c r="E171" i="3"/>
  <c r="F171" i="3"/>
  <c r="D172" i="3"/>
  <c r="G172" i="3" s="1"/>
  <c r="E172" i="3"/>
  <c r="D173" i="3"/>
  <c r="G173" i="3" s="1"/>
  <c r="E173" i="3"/>
  <c r="D174" i="3"/>
  <c r="E174" i="3"/>
  <c r="F174" i="3" s="1"/>
  <c r="D175" i="3"/>
  <c r="G175" i="3" s="1"/>
  <c r="E175" i="3"/>
  <c r="F175" i="3"/>
  <c r="D176" i="3"/>
  <c r="G176" i="3" s="1"/>
  <c r="E176" i="3"/>
  <c r="D177" i="3"/>
  <c r="G177" i="3" s="1"/>
  <c r="E177" i="3"/>
  <c r="D178" i="3"/>
  <c r="E178" i="3"/>
  <c r="F178" i="3" s="1"/>
  <c r="D179" i="3"/>
  <c r="G179" i="3" s="1"/>
  <c r="E179" i="3"/>
  <c r="F179" i="3"/>
  <c r="D180" i="3"/>
  <c r="G180" i="3" s="1"/>
  <c r="E180" i="3"/>
  <c r="D181" i="3"/>
  <c r="G181" i="3" s="1"/>
  <c r="E181" i="3"/>
  <c r="D182" i="3"/>
  <c r="E182" i="3"/>
  <c r="F182" i="3" s="1"/>
  <c r="D183" i="3"/>
  <c r="G183" i="3" s="1"/>
  <c r="E183" i="3"/>
  <c r="F183" i="3"/>
  <c r="D184" i="3"/>
  <c r="G184" i="3" s="1"/>
  <c r="E184" i="3"/>
  <c r="D185" i="3"/>
  <c r="G185" i="3" s="1"/>
  <c r="E185" i="3"/>
  <c r="D186" i="3"/>
  <c r="E186" i="3"/>
  <c r="F186" i="3" s="1"/>
  <c r="D187" i="3"/>
  <c r="G187" i="3" s="1"/>
  <c r="E187" i="3"/>
  <c r="F187" i="3"/>
  <c r="D188" i="3"/>
  <c r="G188" i="3" s="1"/>
  <c r="E188" i="3"/>
  <c r="D189" i="3"/>
  <c r="G189" i="3" s="1"/>
  <c r="E189" i="3"/>
  <c r="D190" i="3"/>
  <c r="E190" i="3"/>
  <c r="F190" i="3" s="1"/>
  <c r="D191" i="3"/>
  <c r="G191" i="3" s="1"/>
  <c r="E191" i="3"/>
  <c r="F191" i="3"/>
  <c r="D192" i="3"/>
  <c r="G192" i="3" s="1"/>
  <c r="E192" i="3"/>
  <c r="D193" i="3"/>
  <c r="G193" i="3" s="1"/>
  <c r="E193" i="3"/>
  <c r="D194" i="3"/>
  <c r="E194" i="3"/>
  <c r="F194" i="3" s="1"/>
  <c r="D195" i="3"/>
  <c r="G195" i="3" s="1"/>
  <c r="E195" i="3"/>
  <c r="F195" i="3"/>
  <c r="D196" i="3"/>
  <c r="G196" i="3" s="1"/>
  <c r="E196" i="3"/>
  <c r="D197" i="3"/>
  <c r="G197" i="3" s="1"/>
  <c r="E197" i="3"/>
  <c r="D198" i="3"/>
  <c r="E198" i="3"/>
  <c r="F198" i="3" s="1"/>
  <c r="D199" i="3"/>
  <c r="G199" i="3" s="1"/>
  <c r="E199" i="3"/>
  <c r="F199" i="3"/>
  <c r="D200" i="3"/>
  <c r="G200" i="3" s="1"/>
  <c r="E200" i="3"/>
  <c r="D201" i="3"/>
  <c r="G201" i="3" s="1"/>
  <c r="E201" i="3"/>
  <c r="D202" i="3"/>
  <c r="E202" i="3"/>
  <c r="F202" i="3" s="1"/>
  <c r="D203" i="3"/>
  <c r="G203" i="3" s="1"/>
  <c r="E203" i="3"/>
  <c r="F203" i="3"/>
  <c r="D204" i="3"/>
  <c r="G204" i="3" s="1"/>
  <c r="E204" i="3"/>
  <c r="D205" i="3"/>
  <c r="G205" i="3" s="1"/>
  <c r="E205" i="3"/>
  <c r="D206" i="3"/>
  <c r="E206" i="3"/>
  <c r="F206" i="3" s="1"/>
  <c r="D207" i="3"/>
  <c r="G207" i="3" s="1"/>
  <c r="E207" i="3"/>
  <c r="F207" i="3"/>
  <c r="D208" i="3"/>
  <c r="G208" i="3" s="1"/>
  <c r="E208" i="3"/>
  <c r="D209" i="3"/>
  <c r="G209" i="3" s="1"/>
  <c r="E209" i="3"/>
  <c r="D210" i="3"/>
  <c r="E210" i="3"/>
  <c r="F210" i="3" s="1"/>
  <c r="D211" i="3"/>
  <c r="G211" i="3" s="1"/>
  <c r="E211" i="3"/>
  <c r="F211" i="3"/>
  <c r="D212" i="3"/>
  <c r="G212" i="3" s="1"/>
  <c r="E212" i="3"/>
  <c r="D213" i="3"/>
  <c r="G213" i="3" s="1"/>
  <c r="E213" i="3"/>
  <c r="E2" i="3"/>
  <c r="F2" i="3" s="1"/>
  <c r="I2" i="2"/>
  <c r="H2" i="2"/>
  <c r="F2" i="2"/>
  <c r="D2" i="3"/>
  <c r="F8" i="5"/>
  <c r="F7" i="5"/>
  <c r="F6" i="5"/>
  <c r="F5" i="5"/>
  <c r="F9" i="5"/>
  <c r="H681" i="2" l="1"/>
  <c r="H665" i="2"/>
  <c r="H649" i="2"/>
  <c r="H633" i="2"/>
  <c r="H593" i="2"/>
  <c r="H585" i="2"/>
  <c r="H577" i="2"/>
  <c r="H569" i="2"/>
  <c r="H561" i="2"/>
  <c r="H553" i="2"/>
  <c r="H673" i="2"/>
  <c r="H657" i="2"/>
  <c r="H641" i="2"/>
  <c r="H21" i="2"/>
  <c r="H13" i="2"/>
  <c r="H5" i="2"/>
  <c r="F283" i="3"/>
  <c r="G283" i="3"/>
  <c r="F271" i="3"/>
  <c r="G271" i="3"/>
  <c r="F268" i="3"/>
  <c r="G268" i="3"/>
  <c r="F263" i="3"/>
  <c r="G263" i="3"/>
  <c r="F260" i="3"/>
  <c r="G260" i="3"/>
  <c r="F255" i="3"/>
  <c r="G255" i="3"/>
  <c r="F252" i="3"/>
  <c r="G252" i="3"/>
  <c r="F247" i="3"/>
  <c r="G247" i="3"/>
  <c r="F244" i="3"/>
  <c r="G244" i="3"/>
  <c r="F239" i="3"/>
  <c r="G239" i="3"/>
  <c r="F236" i="3"/>
  <c r="G236" i="3"/>
  <c r="F231" i="3"/>
  <c r="G231" i="3"/>
  <c r="F228" i="3"/>
  <c r="G228" i="3"/>
  <c r="F223" i="3"/>
  <c r="G223" i="3"/>
  <c r="F220" i="3"/>
  <c r="G220" i="3"/>
  <c r="F215" i="3"/>
  <c r="G215" i="3"/>
  <c r="F340" i="3"/>
  <c r="F336" i="3"/>
  <c r="F332" i="3"/>
  <c r="F328" i="3"/>
  <c r="F324" i="3"/>
  <c r="F320" i="3"/>
  <c r="F316" i="3"/>
  <c r="F312" i="3"/>
  <c r="F308" i="3"/>
  <c r="F304" i="3"/>
  <c r="F300" i="3"/>
  <c r="F296" i="3"/>
  <c r="F287" i="3"/>
  <c r="G287" i="3"/>
  <c r="F280" i="3"/>
  <c r="F341" i="3"/>
  <c r="G339" i="3"/>
  <c r="F337" i="3"/>
  <c r="G335" i="3"/>
  <c r="F333" i="3"/>
  <c r="G331" i="3"/>
  <c r="F329" i="3"/>
  <c r="G327" i="3"/>
  <c r="F325" i="3"/>
  <c r="G323" i="3"/>
  <c r="F321" i="3"/>
  <c r="G319" i="3"/>
  <c r="F317" i="3"/>
  <c r="G315" i="3"/>
  <c r="F313" i="3"/>
  <c r="G311" i="3"/>
  <c r="F309" i="3"/>
  <c r="G307" i="3"/>
  <c r="F305" i="3"/>
  <c r="G303" i="3"/>
  <c r="F301" i="3"/>
  <c r="G299" i="3"/>
  <c r="G292" i="3"/>
  <c r="F291" i="3"/>
  <c r="G291" i="3"/>
  <c r="G286" i="3"/>
  <c r="F284" i="3"/>
  <c r="G276" i="3"/>
  <c r="F275" i="3"/>
  <c r="G275" i="3"/>
  <c r="F272" i="3"/>
  <c r="G272" i="3"/>
  <c r="F267" i="3"/>
  <c r="G267" i="3"/>
  <c r="F264" i="3"/>
  <c r="G264" i="3"/>
  <c r="F259" i="3"/>
  <c r="G259" i="3"/>
  <c r="F256" i="3"/>
  <c r="G256" i="3"/>
  <c r="F251" i="3"/>
  <c r="G251" i="3"/>
  <c r="F248" i="3"/>
  <c r="G248" i="3"/>
  <c r="F243" i="3"/>
  <c r="G243" i="3"/>
  <c r="F240" i="3"/>
  <c r="G240" i="3"/>
  <c r="F235" i="3"/>
  <c r="G235" i="3"/>
  <c r="F232" i="3"/>
  <c r="G232" i="3"/>
  <c r="F227" i="3"/>
  <c r="G227" i="3"/>
  <c r="F224" i="3"/>
  <c r="G224" i="3"/>
  <c r="F219" i="3"/>
  <c r="G219" i="3"/>
  <c r="F216" i="3"/>
  <c r="G216" i="3"/>
  <c r="G340" i="3"/>
  <c r="F338" i="3"/>
  <c r="G336" i="3"/>
  <c r="F334" i="3"/>
  <c r="G332" i="3"/>
  <c r="F330" i="3"/>
  <c r="G328" i="3"/>
  <c r="F326" i="3"/>
  <c r="G324" i="3"/>
  <c r="F322" i="3"/>
  <c r="G320" i="3"/>
  <c r="F318" i="3"/>
  <c r="G316" i="3"/>
  <c r="F314" i="3"/>
  <c r="G312" i="3"/>
  <c r="F310" i="3"/>
  <c r="G308" i="3"/>
  <c r="F306" i="3"/>
  <c r="G304" i="3"/>
  <c r="F302" i="3"/>
  <c r="G300" i="3"/>
  <c r="G296" i="3"/>
  <c r="F295" i="3"/>
  <c r="G295" i="3"/>
  <c r="G290" i="3"/>
  <c r="F288" i="3"/>
  <c r="G280" i="3"/>
  <c r="F279" i="3"/>
  <c r="G279" i="3"/>
  <c r="F297" i="3"/>
  <c r="F293" i="3"/>
  <c r="F289" i="3"/>
  <c r="F285" i="3"/>
  <c r="F281" i="3"/>
  <c r="F277" i="3"/>
  <c r="F273" i="3"/>
  <c r="F269" i="3"/>
  <c r="F265" i="3"/>
  <c r="F261" i="3"/>
  <c r="F257" i="3"/>
  <c r="F253" i="3"/>
  <c r="F249" i="3"/>
  <c r="F245" i="3"/>
  <c r="F241" i="3"/>
  <c r="F237" i="3"/>
  <c r="F233" i="3"/>
  <c r="F229" i="3"/>
  <c r="F225" i="3"/>
  <c r="F221" i="3"/>
  <c r="F217" i="3"/>
  <c r="F84" i="3"/>
  <c r="G84" i="3"/>
  <c r="F68" i="3"/>
  <c r="G68" i="3"/>
  <c r="F52" i="3"/>
  <c r="G52" i="3"/>
  <c r="F36" i="3"/>
  <c r="G36" i="3"/>
  <c r="F20" i="3"/>
  <c r="G20" i="3"/>
  <c r="F4" i="3"/>
  <c r="G4" i="3"/>
  <c r="F212" i="3"/>
  <c r="G210" i="3"/>
  <c r="F208" i="3"/>
  <c r="G206" i="3"/>
  <c r="F204" i="3"/>
  <c r="G202" i="3"/>
  <c r="F200" i="3"/>
  <c r="G198" i="3"/>
  <c r="F196" i="3"/>
  <c r="G194" i="3"/>
  <c r="F192" i="3"/>
  <c r="G190" i="3"/>
  <c r="F188" i="3"/>
  <c r="G186" i="3"/>
  <c r="F184" i="3"/>
  <c r="G182" i="3"/>
  <c r="F180" i="3"/>
  <c r="G178" i="3"/>
  <c r="F176" i="3"/>
  <c r="G174" i="3"/>
  <c r="F172" i="3"/>
  <c r="G170" i="3"/>
  <c r="F168" i="3"/>
  <c r="G166" i="3"/>
  <c r="F164" i="3"/>
  <c r="G162" i="3"/>
  <c r="F160" i="3"/>
  <c r="G158" i="3"/>
  <c r="F156" i="3"/>
  <c r="G154" i="3"/>
  <c r="F152" i="3"/>
  <c r="F151" i="3"/>
  <c r="G151" i="3"/>
  <c r="F149" i="3"/>
  <c r="G149" i="3"/>
  <c r="F147" i="3"/>
  <c r="G147" i="3"/>
  <c r="F145" i="3"/>
  <c r="G145" i="3"/>
  <c r="F143" i="3"/>
  <c r="G143" i="3"/>
  <c r="F141" i="3"/>
  <c r="G141" i="3"/>
  <c r="F139" i="3"/>
  <c r="G139" i="3"/>
  <c r="F137" i="3"/>
  <c r="G137" i="3"/>
  <c r="F135" i="3"/>
  <c r="G135" i="3"/>
  <c r="F133" i="3"/>
  <c r="G133" i="3"/>
  <c r="F131" i="3"/>
  <c r="G131" i="3"/>
  <c r="F129" i="3"/>
  <c r="G129" i="3"/>
  <c r="F127" i="3"/>
  <c r="G127" i="3"/>
  <c r="F125" i="3"/>
  <c r="G125" i="3"/>
  <c r="F123" i="3"/>
  <c r="G123" i="3"/>
  <c r="F121" i="3"/>
  <c r="G121" i="3"/>
  <c r="F119" i="3"/>
  <c r="G119" i="3"/>
  <c r="F117" i="3"/>
  <c r="G117" i="3"/>
  <c r="F115" i="3"/>
  <c r="G115" i="3"/>
  <c r="F113" i="3"/>
  <c r="G113" i="3"/>
  <c r="F111" i="3"/>
  <c r="G111" i="3"/>
  <c r="F109" i="3"/>
  <c r="G109" i="3"/>
  <c r="F107" i="3"/>
  <c r="G107" i="3"/>
  <c r="F105" i="3"/>
  <c r="G105" i="3"/>
  <c r="F103" i="3"/>
  <c r="G103" i="3"/>
  <c r="F101" i="3"/>
  <c r="G101" i="3"/>
  <c r="F99" i="3"/>
  <c r="G99" i="3"/>
  <c r="F97" i="3"/>
  <c r="G97" i="3"/>
  <c r="F95" i="3"/>
  <c r="G95" i="3"/>
  <c r="F93" i="3"/>
  <c r="G93" i="3"/>
  <c r="F91" i="3"/>
  <c r="G91" i="3"/>
  <c r="F89" i="3"/>
  <c r="G89" i="3"/>
  <c r="F80" i="3"/>
  <c r="G80" i="3"/>
  <c r="F64" i="3"/>
  <c r="G64" i="3"/>
  <c r="F48" i="3"/>
  <c r="G48" i="3"/>
  <c r="F32" i="3"/>
  <c r="G32" i="3"/>
  <c r="F16" i="3"/>
  <c r="G16" i="3"/>
  <c r="F213" i="3"/>
  <c r="F209" i="3"/>
  <c r="F205" i="3"/>
  <c r="F201" i="3"/>
  <c r="F197" i="3"/>
  <c r="F193" i="3"/>
  <c r="F189" i="3"/>
  <c r="F185" i="3"/>
  <c r="F181" i="3"/>
  <c r="F177" i="3"/>
  <c r="F173" i="3"/>
  <c r="F169" i="3"/>
  <c r="F165" i="3"/>
  <c r="F161" i="3"/>
  <c r="F157" i="3"/>
  <c r="F153" i="3"/>
  <c r="F76" i="3"/>
  <c r="G76" i="3"/>
  <c r="F60" i="3"/>
  <c r="G60" i="3"/>
  <c r="F44" i="3"/>
  <c r="G44" i="3"/>
  <c r="F28" i="3"/>
  <c r="G28" i="3"/>
  <c r="F12" i="3"/>
  <c r="G12" i="3"/>
  <c r="F150" i="3"/>
  <c r="G150" i="3"/>
  <c r="F148" i="3"/>
  <c r="G148" i="3"/>
  <c r="F146" i="3"/>
  <c r="G146" i="3"/>
  <c r="F144" i="3"/>
  <c r="G144" i="3"/>
  <c r="F142" i="3"/>
  <c r="G142" i="3"/>
  <c r="F140" i="3"/>
  <c r="G140" i="3"/>
  <c r="F138" i="3"/>
  <c r="G138" i="3"/>
  <c r="F136" i="3"/>
  <c r="G136" i="3"/>
  <c r="F134" i="3"/>
  <c r="G134" i="3"/>
  <c r="F132" i="3"/>
  <c r="G132" i="3"/>
  <c r="F130" i="3"/>
  <c r="G130" i="3"/>
  <c r="F128" i="3"/>
  <c r="G128" i="3"/>
  <c r="F126" i="3"/>
  <c r="G126" i="3"/>
  <c r="F124" i="3"/>
  <c r="G124" i="3"/>
  <c r="F122" i="3"/>
  <c r="G122" i="3"/>
  <c r="F120" i="3"/>
  <c r="G120" i="3"/>
  <c r="F118" i="3"/>
  <c r="G118" i="3"/>
  <c r="F116" i="3"/>
  <c r="G116" i="3"/>
  <c r="F114" i="3"/>
  <c r="G114" i="3"/>
  <c r="F112" i="3"/>
  <c r="G112" i="3"/>
  <c r="F110" i="3"/>
  <c r="G110" i="3"/>
  <c r="F108" i="3"/>
  <c r="G108" i="3"/>
  <c r="F106" i="3"/>
  <c r="G106" i="3"/>
  <c r="F104" i="3"/>
  <c r="G104" i="3"/>
  <c r="F102" i="3"/>
  <c r="G102" i="3"/>
  <c r="F100" i="3"/>
  <c r="G100" i="3"/>
  <c r="F98" i="3"/>
  <c r="G98" i="3"/>
  <c r="F96" i="3"/>
  <c r="G96" i="3"/>
  <c r="F94" i="3"/>
  <c r="G94" i="3"/>
  <c r="F92" i="3"/>
  <c r="G92" i="3"/>
  <c r="F90" i="3"/>
  <c r="G90" i="3"/>
  <c r="F88" i="3"/>
  <c r="G88" i="3"/>
  <c r="F72" i="3"/>
  <c r="G72" i="3"/>
  <c r="F56" i="3"/>
  <c r="G56" i="3"/>
  <c r="F40" i="3"/>
  <c r="G40" i="3"/>
  <c r="F24" i="3"/>
  <c r="G24" i="3"/>
  <c r="F8" i="3"/>
  <c r="G8" i="3"/>
  <c r="F85" i="3"/>
  <c r="F81" i="3"/>
  <c r="F77" i="3"/>
  <c r="F73" i="3"/>
  <c r="F69" i="3"/>
  <c r="F65" i="3"/>
  <c r="F61" i="3"/>
  <c r="F57" i="3"/>
  <c r="F53" i="3"/>
  <c r="F49" i="3"/>
  <c r="F45" i="3"/>
  <c r="F41" i="3"/>
  <c r="F37" i="3"/>
  <c r="F33" i="3"/>
  <c r="F29" i="3"/>
  <c r="F25" i="3"/>
  <c r="F21" i="3"/>
  <c r="F17" i="3"/>
  <c r="F13" i="3"/>
  <c r="F9" i="3"/>
  <c r="F5" i="3"/>
  <c r="F87" i="3"/>
  <c r="F83" i="3"/>
  <c r="F79" i="3"/>
  <c r="F75" i="3"/>
  <c r="F71" i="3"/>
  <c r="F67" i="3"/>
  <c r="F63" i="3"/>
  <c r="F59" i="3"/>
  <c r="F55" i="3"/>
  <c r="F51" i="3"/>
  <c r="F47" i="3"/>
  <c r="F43" i="3"/>
  <c r="F39" i="3"/>
  <c r="F35" i="3"/>
  <c r="F31" i="3"/>
  <c r="F27" i="3"/>
  <c r="F23" i="3"/>
  <c r="F19" i="3"/>
  <c r="F15" i="3"/>
  <c r="F11" i="3"/>
  <c r="F7" i="3"/>
  <c r="G2" i="3"/>
</calcChain>
</file>

<file path=xl/sharedStrings.xml><?xml version="1.0" encoding="utf-8"?>
<sst xmlns="http://schemas.openxmlformats.org/spreadsheetml/2006/main" count="40" uniqueCount="29">
  <si>
    <t>student_id</t>
  </si>
  <si>
    <t>sex</t>
  </si>
  <si>
    <t>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</si>
  <si>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</si>
  <si>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</si>
  <si>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</si>
  <si>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</si>
  <si>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</si>
  <si>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</si>
  <si>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</si>
  <si>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marks</t>
  </si>
  <si>
    <t>CENTRE</t>
  </si>
  <si>
    <t>CODE</t>
  </si>
  <si>
    <t>SUBJECT NAME</t>
  </si>
  <si>
    <t>SCHOOL NAME</t>
  </si>
  <si>
    <t>REGION</t>
  </si>
  <si>
    <t>COUNCIL</t>
  </si>
  <si>
    <t>WARD</t>
  </si>
  <si>
    <t>Registered</t>
  </si>
  <si>
    <t>With Marks</t>
  </si>
  <si>
    <t>Absents</t>
  </si>
  <si>
    <t>Progress</t>
  </si>
  <si>
    <t>subject_code</t>
  </si>
  <si>
    <t>KIYABO APP FOR JOINT EXAMINATIONS</t>
  </si>
  <si>
    <t>SELECT CENTRE AND SUBJECT CODE</t>
  </si>
  <si>
    <t>KAIMU</t>
  </si>
  <si>
    <t>S1873 SONGWE SS CIVICS: 011</t>
  </si>
  <si>
    <t>exam_id</t>
  </si>
  <si>
    <t>student_global_id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</si>
</sst>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4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sz val="8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7" fillId="4" borderId="0" xfId="0" applyFont="1" applyFill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0" borderId="0" xfId="1" applyNumberFormat="1" applyFont="1" applyProtection="1"/>
    <xf numFmtId="0" fontId="0" fillId="0" borderId="0" xfId="0" applyAlignment="1">
      <alignment horizontal="center"/>
    </xf>
    <xf numFmtId="164" fontId="0" fillId="0" borderId="0" xfId="2" applyNumberFormat="1" applyFont="1" applyAlignment="1" applyProtection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8" fillId="4" borderId="0" xfId="0" applyFont="1" applyFill="1" applyAlignment="1" applyProtection="1">
      <alignment vertical="center" wrapText="1"/>
      <protection locked="0"/>
    </xf>
    <xf numFmtId="0" fontId="8" fillId="4" borderId="0" xfId="0" applyFont="1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0" xfId="0" applyFont="1" applyFill="1" applyAlignment="1" applyProtection="1">
      <alignment wrapText="1"/>
      <protection locked="0"/>
    </xf>
    <xf numFmtId="0" fontId="7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2" fillId="3" borderId="0" xfId="0" applyFont="1" applyFill="1"/>
    <xf numFmtId="49" fontId="8" fillId="4" borderId="0" xfId="0" applyNumberFormat="1" applyFont="1" applyFill="1" applyProtection="1">
      <protection locked="0"/>
    </xf>
    <xf numFmtId="49" fontId="7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3" fillId="5" borderId="0" xfId="0" applyFont="1" applyFill="1"/>
    <xf numFmtId="164" fontId="13" fillId="5" borderId="0" xfId="0" applyNumberFormat="1" applyFont="1" applyFill="1"/>
    <xf numFmtId="49" fontId="13" fillId="5" borderId="0" xfId="0" applyNumberFormat="1" applyFont="1" applyFill="1"/>
    <xf numFmtId="0" fontId="13" fillId="5" borderId="0" xfId="0" applyFont="1" applyFill="1" applyAlignment="1">
      <alignment horizontal="center"/>
    </xf>
    <xf numFmtId="164" fontId="13" fillId="5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0" fontId="0" fillId="0" borderId="0" xfId="2" applyNumberFormat="1" applyFont="1" applyProtection="1"/>
    <xf numFmtId="165" fontId="0" fillId="0" borderId="0" xfId="1" applyNumberFormat="1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alignment horizont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colors>
    <mruColors>
      <color rgb="FFF8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E73E54-8E6D-41F2-AD12-244D814E3AA8}" name="Table1" displayName="Table1" ref="A1:N2" insertRow="1" headerRowDxfId="17" dataDxfId="16" totalsRowDxfId="15">
  <tableColumns count="14">
    <tableColumn id="3" xr3:uid="{7CB0E269-AE30-4B0C-BD63-F695EADD3A98}" name="student_id" dataDxfId="14"/>
    <tableColumn id="1" xr3:uid="{00F4D178-3F76-44AA-9025-2A720426B696}" name="S1873 SONGWE SS CIVICS: 011" totalsRowLabel="Total" dataDxfId="13"/>
    <tableColumn id="2" xr3:uid="{BA778206-BE37-44ED-AB22-03CE872CEBDB}" name="sex" dataDxfId="12"/>
    <tableColumn id="4" xr3:uid="{A3BDD0B5-7283-4BE4-B558-0B7CF9B4DBB5}" name="marks" dataDxfId="11"/>
    <tableColumn id="5" xr3:uid="{30EE7963-3C75-4CDB-AA03-58E4811DB18D}" name="subject_code" dataDxfId="10"/>
    <tableColumn id="6" xr3:uid="{6DB79682-C99A-402D-86F2-1FE1A77F77ED}" name="subject_name" dataDxfId="9"/>
    <tableColumn id="7" xr3:uid="{07F8ECA2-AB5A-4C0A-AEE0-9BBE13CF8F00}" name="subject_short" dataDxfId="8"/>
    <tableColumn id="8" xr3:uid="{311C8BCC-A63B-4CE0-A908-D0B4F838515B}" name="centre_number" dataDxfId="7"/>
    <tableColumn id="9" xr3:uid="{4CA235DE-A399-4E91-AF77-13765AF95025}" name="school_name" dataDxfId="6"/>
    <tableColumn id="10" xr3:uid="{129E7676-9776-4462-B699-CEF8EC7D54F7}" name="ward_name" dataDxfId="5"/>
    <tableColumn id="11" xr3:uid="{9C21DDA9-C73F-4543-8FFB-3A0F0A29EB33}" name="council_name" dataDxfId="4"/>
    <tableColumn id="12" xr3:uid="{35D75879-7816-480E-8848-9A97FE60311E}" name="region_name" totalsRowFunction="count" dataDxfId="3"/>
    <tableColumn id="16" xr3:uid="{6BE6DD11-625C-43B2-A015-C3C6C1190C65}" name="exam_id" dataDxfId="2"/>
    <tableColumn id="13" xr3:uid="{4F1B6277-7304-45D8-B063-6EC752C39EF1}" name="student_global_id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AF8-3227-4BF9-826F-94B033A74DC1}">
  <sheetPr codeName="Sheet1"/>
  <dimension ref="A1:O2"/>
  <sheetViews>
    <sheetView topLeftCell="I1" workbookViewId="0">
      <pane ySplit="1" topLeftCell="A2" activePane="bottomLeft" state="frozen"/>
      <selection pane="bottomLeft" activeCell="I2" sqref="I2"/>
    </sheetView>
  </sheetViews>
  <sheetFormatPr defaultRowHeight="14.25" x14ac:dyDescent="0.2"/>
  <cols>
    <col min="1" max="1" width="10.75" style="15" bestFit="1" customWidth="1"/>
    <col min="2" max="2" width="33.75" style="15" bestFit="1" customWidth="1"/>
    <col min="3" max="3" width="4" style="15" bestFit="1" customWidth="1"/>
    <col min="4" max="4" width="6.125" style="3" bestFit="1" customWidth="1"/>
    <col min="5" max="5" width="12.75" style="19" customWidth="1"/>
    <col min="6" max="6" width="37.125" style="15" customWidth="1"/>
    <col min="7" max="7" width="13.125" style="15" customWidth="1"/>
    <col min="8" max="8" width="14.5" style="15" customWidth="1"/>
    <col min="9" max="9" width="13.75" style="15" customWidth="1"/>
    <col min="10" max="10" width="19.375" style="15" customWidth="1"/>
    <col min="11" max="11" width="13.125" style="15" customWidth="1"/>
    <col min="12" max="12" width="12.375" style="15" customWidth="1"/>
    <col min="13" max="13" width="6.5" style="15" customWidth="1"/>
    <col min="14" max="14" width="9" style="15"/>
    <col min="15" max="15" width="20.125" style="15" customWidth="1"/>
    <col min="16" max="16384" width="9" style="15"/>
  </cols>
  <sheetData>
    <row r="1" spans="1:15" s="12" customFormat="1" ht="37.5" customHeight="1" x14ac:dyDescent="0.25">
      <c r="A1" s="10" t="s">
        <v>0</v>
      </c>
      <c r="B1" s="10" t="s">
        <v>26</v>
      </c>
      <c r="C1" s="10" t="s">
        <v>1</v>
      </c>
      <c r="D1" s="2" t="s">
        <v>10</v>
      </c>
      <c r="E1" s="17" t="s">
        <v>22</v>
      </c>
      <c r="F1" s="11" t="s">
        <v>3</v>
      </c>
      <c r="G1" s="11" t="s">
        <v>4</v>
      </c>
      <c r="H1" s="11" t="s">
        <v>5</v>
      </c>
      <c r="I1" s="11" t="s">
        <v>6</v>
      </c>
      <c r="J1" s="11" t="s">
        <v>7</v>
      </c>
      <c r="K1" s="11" t="s">
        <v>8</v>
      </c>
      <c r="L1" s="11" t="s">
        <v>9</v>
      </c>
      <c r="M1" s="11" t="s">
        <v>27</v>
      </c>
      <c r="N1" s="11" t="s">
        <v>28</v>
      </c>
      <c r="O1" s="13"/>
    </row>
    <row r="2" spans="1:15" x14ac:dyDescent="0.2">
      <c r="A2" s="14"/>
      <c r="B2" s="14"/>
      <c r="C2" s="14"/>
      <c r="D2" s="1"/>
      <c r="E2" s="18"/>
      <c r="F2" s="14"/>
      <c r="G2" s="14"/>
      <c r="H2" s="14"/>
      <c r="I2" s="14"/>
      <c r="J2" s="14"/>
      <c r="K2" s="14"/>
      <c r="L2" s="14"/>
      <c r="M2" s="14"/>
      <c r="N2" s="14"/>
    </row>
  </sheetData>
  <sheetProtection sort="0" autoFilter="0" pivotTables="0"/>
  <phoneticPr fontId="5" type="noConversion"/>
  <dataValidations count="1">
    <dataValidation type="decimal" allowBlank="1" showInputMessage="1" showErrorMessage="1" errorTitle="INVALID MARKS" error="PLEASE ONLY 0 TO 100 MARKS IS ALLOWED TO BE USED" promptTitle="Marks" prompt="0 to 100" sqref="D2" xr:uid="{0588E854-E018-4495-9F6A-95D8EE4C76A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E50AF-51F8-40C2-8456-1DB3FDAFF4CC}">
          <x14:formula1>
            <xm:f>Schools!#REF!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1FE11-D356-49DA-A231-2DB7C478C639}">
  <sheetPr codeName="Sheet2"/>
  <dimension ref="A1:I1113"/>
  <sheetViews>
    <sheetView workbookViewId="0">
      <selection activeCell="I2" sqref="I2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2" bestFit="1" customWidth="1"/>
  </cols>
  <sheetData>
    <row r="1" spans="1:9" ht="15" x14ac:dyDescent="0.25">
      <c r="A1" s="23" t="s">
        <v>5</v>
      </c>
      <c r="B1" s="23" t="s">
        <v>6</v>
      </c>
      <c r="C1" s="23" t="s">
        <v>7</v>
      </c>
      <c r="D1" s="23" t="s">
        <v>8</v>
      </c>
      <c r="E1" s="23" t="s">
        <v>9</v>
      </c>
      <c r="F1" s="23" t="s">
        <v>18</v>
      </c>
      <c r="G1" s="23" t="s">
        <v>19</v>
      </c>
      <c r="H1" s="23" t="s">
        <v>20</v>
      </c>
      <c r="I1" s="24" t="s">
        <v>21</v>
      </c>
    </row>
    <row r="2" spans="1:9" x14ac:dyDescent="0.2">
      <c r="F2" s="4" t="str">
        <f>IF(LEN(TRIM(A2))=0,"",COUNTIFS(Students!H:H, A2))</f>
        <v/>
      </c>
      <c r="G2" s="4" t="str">
        <f>IF(LEN(TRIM(A2))=0,"",COUNTIFS(Students!H:H, A2, Students!D:D, "&gt;=0"))</f>
        <v/>
      </c>
      <c r="H2" s="4" t="str">
        <f>IFERROR(F2-G2,"")</f>
        <v/>
      </c>
      <c r="I2" s="30" t="str">
        <f>IFERROR(IF(F2=0, "N/A", G2/F2),"")</f>
        <v/>
      </c>
    </row>
    <row r="3" spans="1:9" x14ac:dyDescent="0.2">
      <c r="F3" s="4" t="str">
        <f>IF(LEN(TRIM(A3))=0,"",COUNTIFS(Students!H:H, A3))</f>
        <v/>
      </c>
      <c r="G3" s="4" t="str">
        <f>IF(LEN(TRIM(A3))=0,"",COUNTIFS(Students!H:H, A3, Students!D:D, "&gt;=0"))</f>
        <v/>
      </c>
      <c r="H3" s="4" t="str">
        <f t="shared" ref="H3:H66" si="0">IFERROR(F3-G3,"")</f>
        <v/>
      </c>
      <c r="I3" s="30" t="str">
        <f t="shared" ref="I3:I66" si="1">IFERROR(IF(F3=0, "N/A", G3/F3),"")</f>
        <v/>
      </c>
    </row>
    <row r="4" spans="1:9" x14ac:dyDescent="0.2">
      <c r="F4" s="4" t="str">
        <f>IF(LEN(TRIM(A4))=0,"",COUNTIFS(Students!H:H, A4))</f>
        <v/>
      </c>
      <c r="G4" s="4" t="str">
        <f>IF(LEN(TRIM(A4))=0,"",COUNTIFS(Students!H:H, A4, Students!D:D, "&gt;=0"))</f>
        <v/>
      </c>
      <c r="H4" s="4" t="str">
        <f t="shared" si="0"/>
        <v/>
      </c>
      <c r="I4" s="30" t="str">
        <f t="shared" si="1"/>
        <v/>
      </c>
    </row>
    <row r="5" spans="1:9" x14ac:dyDescent="0.2">
      <c r="F5" s="4" t="str">
        <f>IF(LEN(TRIM(A5))=0,"",COUNTIFS(Students!H:H, A5))</f>
        <v/>
      </c>
      <c r="G5" s="4" t="str">
        <f>IF(LEN(TRIM(A5))=0,"",COUNTIFS(Students!H:H, A5, Students!D:D, "&gt;=0"))</f>
        <v/>
      </c>
      <c r="H5" s="4" t="str">
        <f t="shared" si="0"/>
        <v/>
      </c>
      <c r="I5" s="30" t="str">
        <f t="shared" si="1"/>
        <v/>
      </c>
    </row>
    <row r="6" spans="1:9" x14ac:dyDescent="0.2">
      <c r="F6" s="4" t="str">
        <f>IF(LEN(TRIM(A6))=0,"",COUNTIFS(Students!H:H, A6))</f>
        <v/>
      </c>
      <c r="G6" s="4" t="str">
        <f>IF(LEN(TRIM(A6))=0,"",COUNTIFS(Students!H:H, A6, Students!D:D, "&gt;=0"))</f>
        <v/>
      </c>
      <c r="H6" s="4" t="str">
        <f t="shared" si="0"/>
        <v/>
      </c>
      <c r="I6" s="30" t="str">
        <f t="shared" si="1"/>
        <v/>
      </c>
    </row>
    <row r="7" spans="1:9" x14ac:dyDescent="0.2">
      <c r="F7" s="4" t="str">
        <f>IF(LEN(TRIM(A7))=0,"",COUNTIFS(Students!H:H, A7))</f>
        <v/>
      </c>
      <c r="G7" s="4" t="str">
        <f>IF(LEN(TRIM(A7))=0,"",COUNTIFS(Students!H:H, A7, Students!D:D, "&gt;=0"))</f>
        <v/>
      </c>
      <c r="H7" s="4" t="str">
        <f t="shared" si="0"/>
        <v/>
      </c>
      <c r="I7" s="30" t="str">
        <f t="shared" si="1"/>
        <v/>
      </c>
    </row>
    <row r="8" spans="1:9" x14ac:dyDescent="0.2">
      <c r="F8" s="4" t="str">
        <f>IF(LEN(TRIM(A8))=0,"",COUNTIFS(Students!H:H, A8))</f>
        <v/>
      </c>
      <c r="G8" s="4" t="str">
        <f>IF(LEN(TRIM(A8))=0,"",COUNTIFS(Students!H:H, A8, Students!D:D, "&gt;=0"))</f>
        <v/>
      </c>
      <c r="H8" s="4" t="str">
        <f t="shared" si="0"/>
        <v/>
      </c>
      <c r="I8" s="30" t="str">
        <f t="shared" si="1"/>
        <v/>
      </c>
    </row>
    <row r="9" spans="1:9" x14ac:dyDescent="0.2">
      <c r="F9" s="4" t="str">
        <f>IF(LEN(TRIM(A9))=0,"",COUNTIFS(Students!H:H, A9))</f>
        <v/>
      </c>
      <c r="G9" s="4" t="str">
        <f>IF(LEN(TRIM(A9))=0,"",COUNTIFS(Students!H:H, A9, Students!D:D, "&gt;=0"))</f>
        <v/>
      </c>
      <c r="H9" s="4" t="str">
        <f t="shared" si="0"/>
        <v/>
      </c>
      <c r="I9" s="30" t="str">
        <f t="shared" si="1"/>
        <v/>
      </c>
    </row>
    <row r="10" spans="1:9" x14ac:dyDescent="0.2">
      <c r="F10" s="4" t="str">
        <f>IF(LEN(TRIM(A10))=0,"",COUNTIFS(Students!H:H, A10))</f>
        <v/>
      </c>
      <c r="G10" s="4" t="str">
        <f>IF(LEN(TRIM(A10))=0,"",COUNTIFS(Students!H:H, A10, Students!D:D, "&gt;=0"))</f>
        <v/>
      </c>
      <c r="H10" s="4" t="str">
        <f t="shared" si="0"/>
        <v/>
      </c>
      <c r="I10" s="30" t="str">
        <f t="shared" si="1"/>
        <v/>
      </c>
    </row>
    <row r="11" spans="1:9" x14ac:dyDescent="0.2">
      <c r="F11" s="4" t="str">
        <f>IF(LEN(TRIM(A11))=0,"",COUNTIFS(Students!H:H, A11))</f>
        <v/>
      </c>
      <c r="G11" s="4" t="str">
        <f>IF(LEN(TRIM(A11))=0,"",COUNTIFS(Students!H:H, A11, Students!D:D, "&gt;=0"))</f>
        <v/>
      </c>
      <c r="H11" s="4" t="str">
        <f t="shared" si="0"/>
        <v/>
      </c>
      <c r="I11" s="30" t="str">
        <f t="shared" si="1"/>
        <v/>
      </c>
    </row>
    <row r="12" spans="1:9" x14ac:dyDescent="0.2">
      <c r="F12" s="4" t="str">
        <f>IF(LEN(TRIM(A12))=0,"",COUNTIFS(Students!H:H, A12))</f>
        <v/>
      </c>
      <c r="G12" s="4" t="str">
        <f>IF(LEN(TRIM(A12))=0,"",COUNTIFS(Students!H:H, A12, Students!D:D, "&gt;=0"))</f>
        <v/>
      </c>
      <c r="H12" s="4" t="str">
        <f t="shared" si="0"/>
        <v/>
      </c>
      <c r="I12" s="30" t="str">
        <f t="shared" si="1"/>
        <v/>
      </c>
    </row>
    <row r="13" spans="1:9" x14ac:dyDescent="0.2">
      <c r="F13" s="4" t="str">
        <f>IF(LEN(TRIM(A13))=0,"",COUNTIFS(Students!H:H, A13))</f>
        <v/>
      </c>
      <c r="G13" s="4" t="str">
        <f>IF(LEN(TRIM(A13))=0,"",COUNTIFS(Students!H:H, A13, Students!D:D, "&gt;=0"))</f>
        <v/>
      </c>
      <c r="H13" s="4" t="str">
        <f t="shared" si="0"/>
        <v/>
      </c>
      <c r="I13" s="30" t="str">
        <f t="shared" si="1"/>
        <v/>
      </c>
    </row>
    <row r="14" spans="1:9" x14ac:dyDescent="0.2">
      <c r="F14" s="4" t="str">
        <f>IF(LEN(TRIM(A14))=0,"",COUNTIFS(Students!H:H, A14))</f>
        <v/>
      </c>
      <c r="G14" s="4" t="str">
        <f>IF(LEN(TRIM(A14))=0,"",COUNTIFS(Students!H:H, A14, Students!D:D, "&gt;=0"))</f>
        <v/>
      </c>
      <c r="H14" s="4" t="str">
        <f t="shared" si="0"/>
        <v/>
      </c>
      <c r="I14" s="30" t="str">
        <f t="shared" si="1"/>
        <v/>
      </c>
    </row>
    <row r="15" spans="1:9" x14ac:dyDescent="0.2">
      <c r="F15" s="4" t="str">
        <f>IF(LEN(TRIM(A15))=0,"",COUNTIFS(Students!H:H, A15))</f>
        <v/>
      </c>
      <c r="G15" s="4" t="str">
        <f>IF(LEN(TRIM(A15))=0,"",COUNTIFS(Students!H:H, A15, Students!D:D, "&gt;=0"))</f>
        <v/>
      </c>
      <c r="H15" s="4" t="str">
        <f t="shared" si="0"/>
        <v/>
      </c>
      <c r="I15" s="30" t="str">
        <f t="shared" si="1"/>
        <v/>
      </c>
    </row>
    <row r="16" spans="1:9" x14ac:dyDescent="0.2">
      <c r="F16" s="4" t="str">
        <f>IF(LEN(TRIM(A16))=0,"",COUNTIFS(Students!H:H, A16))</f>
        <v/>
      </c>
      <c r="G16" s="4" t="str">
        <f>IF(LEN(TRIM(A16))=0,"",COUNTIFS(Students!H:H, A16, Students!D:D, "&gt;=0"))</f>
        <v/>
      </c>
      <c r="H16" s="4" t="str">
        <f t="shared" si="0"/>
        <v/>
      </c>
      <c r="I16" s="30" t="str">
        <f t="shared" si="1"/>
        <v/>
      </c>
    </row>
    <row r="17" spans="6:9" x14ac:dyDescent="0.2">
      <c r="F17" s="4" t="str">
        <f>IF(LEN(TRIM(A17))=0,"",COUNTIFS(Students!H:H, A17))</f>
        <v/>
      </c>
      <c r="G17" s="4" t="str">
        <f>IF(LEN(TRIM(A17))=0,"",COUNTIFS(Students!H:H, A17, Students!D:D, "&gt;=0"))</f>
        <v/>
      </c>
      <c r="H17" s="4" t="str">
        <f t="shared" si="0"/>
        <v/>
      </c>
      <c r="I17" s="30" t="str">
        <f t="shared" si="1"/>
        <v/>
      </c>
    </row>
    <row r="18" spans="6:9" x14ac:dyDescent="0.2">
      <c r="F18" s="4" t="str">
        <f>IF(LEN(TRIM(A18))=0,"",COUNTIFS(Students!H:H, A18))</f>
        <v/>
      </c>
      <c r="G18" s="4" t="str">
        <f>IF(LEN(TRIM(A18))=0,"",COUNTIFS(Students!H:H, A18, Students!D:D, "&gt;=0"))</f>
        <v/>
      </c>
      <c r="H18" s="4" t="str">
        <f t="shared" si="0"/>
        <v/>
      </c>
      <c r="I18" s="30" t="str">
        <f t="shared" si="1"/>
        <v/>
      </c>
    </row>
    <row r="19" spans="6:9" x14ac:dyDescent="0.2">
      <c r="F19" s="4" t="str">
        <f>IF(LEN(TRIM(A19))=0,"",COUNTIFS(Students!H:H, A19))</f>
        <v/>
      </c>
      <c r="G19" s="4" t="str">
        <f>IF(LEN(TRIM(A19))=0,"",COUNTIFS(Students!H:H, A19, Students!D:D, "&gt;=0"))</f>
        <v/>
      </c>
      <c r="H19" s="4" t="str">
        <f t="shared" si="0"/>
        <v/>
      </c>
      <c r="I19" s="30" t="str">
        <f t="shared" si="1"/>
        <v/>
      </c>
    </row>
    <row r="20" spans="6:9" x14ac:dyDescent="0.2">
      <c r="F20" s="4" t="str">
        <f>IF(LEN(TRIM(A20))=0,"",COUNTIFS(Students!H:H, A20))</f>
        <v/>
      </c>
      <c r="G20" s="4" t="str">
        <f>IF(LEN(TRIM(A20))=0,"",COUNTIFS(Students!H:H, A20, Students!D:D, "&gt;=0"))</f>
        <v/>
      </c>
      <c r="H20" s="4" t="str">
        <f t="shared" si="0"/>
        <v/>
      </c>
      <c r="I20" s="30" t="str">
        <f t="shared" si="1"/>
        <v/>
      </c>
    </row>
    <row r="21" spans="6:9" x14ac:dyDescent="0.2">
      <c r="F21" s="4" t="str">
        <f>IF(LEN(TRIM(A21))=0,"",COUNTIFS(Students!H:H, A21))</f>
        <v/>
      </c>
      <c r="G21" s="4" t="str">
        <f>IF(LEN(TRIM(A21))=0,"",COUNTIFS(Students!H:H, A21, Students!D:D, "&gt;=0"))</f>
        <v/>
      </c>
      <c r="H21" s="4" t="str">
        <f t="shared" si="0"/>
        <v/>
      </c>
      <c r="I21" s="30" t="str">
        <f t="shared" si="1"/>
        <v/>
      </c>
    </row>
    <row r="22" spans="6:9" x14ac:dyDescent="0.2">
      <c r="F22" s="4" t="str">
        <f>IF(LEN(TRIM(A22))=0,"",COUNTIFS(Students!H:H, A22))</f>
        <v/>
      </c>
      <c r="G22" s="4" t="str">
        <f>IF(LEN(TRIM(A22))=0,"",COUNTIFS(Students!H:H, A22, Students!D:D, "&gt;=0"))</f>
        <v/>
      </c>
      <c r="H22" s="4" t="str">
        <f t="shared" si="0"/>
        <v/>
      </c>
      <c r="I22" s="30" t="str">
        <f t="shared" si="1"/>
        <v/>
      </c>
    </row>
    <row r="23" spans="6:9" x14ac:dyDescent="0.2">
      <c r="F23" s="4" t="str">
        <f>IF(LEN(TRIM(A23))=0,"",COUNTIFS(Students!H:H, A23))</f>
        <v/>
      </c>
      <c r="G23" s="4" t="str">
        <f>IF(LEN(TRIM(A23))=0,"",COUNTIFS(Students!H:H, A23, Students!D:D, "&gt;=0"))</f>
        <v/>
      </c>
      <c r="H23" s="4" t="str">
        <f t="shared" si="0"/>
        <v/>
      </c>
      <c r="I23" s="30" t="str">
        <f t="shared" si="1"/>
        <v/>
      </c>
    </row>
    <row r="24" spans="6:9" x14ac:dyDescent="0.2">
      <c r="F24" s="4" t="str">
        <f>IF(LEN(TRIM(A24))=0,"",COUNTIFS(Students!H:H, A24))</f>
        <v/>
      </c>
      <c r="G24" s="4" t="str">
        <f>IF(LEN(TRIM(A24))=0,"",COUNTIFS(Students!H:H, A24, Students!D:D, "&gt;=0"))</f>
        <v/>
      </c>
      <c r="H24" s="4" t="str">
        <f t="shared" si="0"/>
        <v/>
      </c>
      <c r="I24" s="30" t="str">
        <f t="shared" si="1"/>
        <v/>
      </c>
    </row>
    <row r="25" spans="6:9" x14ac:dyDescent="0.2">
      <c r="F25" s="4" t="str">
        <f>IF(LEN(TRIM(A25))=0,"",COUNTIFS(Students!H:H, A25))</f>
        <v/>
      </c>
      <c r="G25" s="4" t="str">
        <f>IF(LEN(TRIM(A25))=0,"",COUNTIFS(Students!H:H, A25, Students!D:D, "&gt;=0"))</f>
        <v/>
      </c>
      <c r="H25" s="4" t="str">
        <f t="shared" si="0"/>
        <v/>
      </c>
      <c r="I25" s="30" t="str">
        <f t="shared" si="1"/>
        <v/>
      </c>
    </row>
    <row r="26" spans="6:9" x14ac:dyDescent="0.2">
      <c r="F26" s="4" t="str">
        <f>IF(LEN(TRIM(A26))=0,"",COUNTIFS(Students!H:H, A26))</f>
        <v/>
      </c>
      <c r="G26" s="4" t="str">
        <f>IF(LEN(TRIM(A26))=0,"",COUNTIFS(Students!H:H, A26, Students!D:D, "&gt;=0"))</f>
        <v/>
      </c>
      <c r="H26" s="4" t="str">
        <f t="shared" si="0"/>
        <v/>
      </c>
      <c r="I26" s="30" t="str">
        <f t="shared" si="1"/>
        <v/>
      </c>
    </row>
    <row r="27" spans="6:9" x14ac:dyDescent="0.2">
      <c r="F27" s="4" t="str">
        <f>IF(LEN(TRIM(A27))=0,"",COUNTIFS(Students!H:H, A27))</f>
        <v/>
      </c>
      <c r="G27" s="4" t="str">
        <f>IF(LEN(TRIM(A27))=0,"",COUNTIFS(Students!H:H, A27, Students!D:D, "&gt;=0"))</f>
        <v/>
      </c>
      <c r="H27" s="4" t="str">
        <f t="shared" si="0"/>
        <v/>
      </c>
      <c r="I27" s="30" t="str">
        <f t="shared" si="1"/>
        <v/>
      </c>
    </row>
    <row r="28" spans="6:9" x14ac:dyDescent="0.2">
      <c r="F28" s="4" t="str">
        <f>IF(LEN(TRIM(A28))=0,"",COUNTIFS(Students!H:H, A28))</f>
        <v/>
      </c>
      <c r="G28" s="4" t="str">
        <f>IF(LEN(TRIM(A28))=0,"",COUNTIFS(Students!H:H, A28, Students!D:D, "&gt;=0"))</f>
        <v/>
      </c>
      <c r="H28" s="4" t="str">
        <f t="shared" si="0"/>
        <v/>
      </c>
      <c r="I28" s="30" t="str">
        <f t="shared" si="1"/>
        <v/>
      </c>
    </row>
    <row r="29" spans="6:9" x14ac:dyDescent="0.2">
      <c r="F29" s="4" t="str">
        <f>IF(LEN(TRIM(A29))=0,"",COUNTIFS(Students!H:H, A29))</f>
        <v/>
      </c>
      <c r="G29" s="4" t="str">
        <f>IF(LEN(TRIM(A29))=0,"",COUNTIFS(Students!H:H, A29, Students!D:D, "&gt;=0"))</f>
        <v/>
      </c>
      <c r="H29" s="4" t="str">
        <f t="shared" si="0"/>
        <v/>
      </c>
      <c r="I29" s="30" t="str">
        <f t="shared" si="1"/>
        <v/>
      </c>
    </row>
    <row r="30" spans="6:9" x14ac:dyDescent="0.2">
      <c r="F30" s="4" t="str">
        <f>IF(LEN(TRIM(A30))=0,"",COUNTIFS(Students!H:H, A30))</f>
        <v/>
      </c>
      <c r="G30" s="4" t="str">
        <f>IF(LEN(TRIM(A30))=0,"",COUNTIFS(Students!H:H, A30, Students!D:D, "&gt;=0"))</f>
        <v/>
      </c>
      <c r="H30" s="4" t="str">
        <f t="shared" si="0"/>
        <v/>
      </c>
      <c r="I30" s="30" t="str">
        <f t="shared" si="1"/>
        <v/>
      </c>
    </row>
    <row r="31" spans="6:9" x14ac:dyDescent="0.2">
      <c r="F31" s="4" t="str">
        <f>IF(LEN(TRIM(A31))=0,"",COUNTIFS(Students!H:H, A31))</f>
        <v/>
      </c>
      <c r="G31" s="4" t="str">
        <f>IF(LEN(TRIM(A31))=0,"",COUNTIFS(Students!H:H, A31, Students!D:D, "&gt;=0"))</f>
        <v/>
      </c>
      <c r="H31" s="4" t="str">
        <f t="shared" si="0"/>
        <v/>
      </c>
      <c r="I31" s="30" t="str">
        <f t="shared" si="1"/>
        <v/>
      </c>
    </row>
    <row r="32" spans="6:9" x14ac:dyDescent="0.2">
      <c r="F32" s="4" t="str">
        <f>IF(LEN(TRIM(A32))=0,"",COUNTIFS(Students!H:H, A32))</f>
        <v/>
      </c>
      <c r="G32" s="4" t="str">
        <f>IF(LEN(TRIM(A32))=0,"",COUNTIFS(Students!H:H, A32, Students!D:D, "&gt;=0"))</f>
        <v/>
      </c>
      <c r="H32" s="4" t="str">
        <f t="shared" si="0"/>
        <v/>
      </c>
      <c r="I32" s="30" t="str">
        <f t="shared" si="1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"&gt;=0"))</f>
        <v/>
      </c>
      <c r="H33" s="4" t="str">
        <f t="shared" si="0"/>
        <v/>
      </c>
      <c r="I33" s="30" t="str">
        <f t="shared" si="1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"&gt;=0"))</f>
        <v/>
      </c>
      <c r="H34" s="4" t="str">
        <f t="shared" si="0"/>
        <v/>
      </c>
      <c r="I34" s="30" t="str">
        <f t="shared" si="1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"&gt;=0"))</f>
        <v/>
      </c>
      <c r="H35" s="4" t="str">
        <f t="shared" si="0"/>
        <v/>
      </c>
      <c r="I35" s="30" t="str">
        <f t="shared" si="1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"&gt;=0"))</f>
        <v/>
      </c>
      <c r="H36" s="4" t="str">
        <f t="shared" si="0"/>
        <v/>
      </c>
      <c r="I36" s="30" t="str">
        <f t="shared" si="1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"&gt;=0"))</f>
        <v/>
      </c>
      <c r="H37" s="4" t="str">
        <f t="shared" si="0"/>
        <v/>
      </c>
      <c r="I37" s="30" t="str">
        <f t="shared" si="1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"&gt;=0"))</f>
        <v/>
      </c>
      <c r="H38" s="4" t="str">
        <f t="shared" si="0"/>
        <v/>
      </c>
      <c r="I38" s="30" t="str">
        <f t="shared" si="1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"&gt;=0"))</f>
        <v/>
      </c>
      <c r="H39" s="4" t="str">
        <f t="shared" si="0"/>
        <v/>
      </c>
      <c r="I39" s="30" t="str">
        <f t="shared" si="1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"&gt;=0"))</f>
        <v/>
      </c>
      <c r="H40" s="4" t="str">
        <f t="shared" si="0"/>
        <v/>
      </c>
      <c r="I40" s="30" t="str">
        <f t="shared" si="1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"&gt;=0"))</f>
        <v/>
      </c>
      <c r="H41" s="4" t="str">
        <f t="shared" si="0"/>
        <v/>
      </c>
      <c r="I41" s="30" t="str">
        <f t="shared" si="1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"&gt;=0"))</f>
        <v/>
      </c>
      <c r="H42" s="4" t="str">
        <f t="shared" si="0"/>
        <v/>
      </c>
      <c r="I42" s="30" t="str">
        <f t="shared" si="1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"&gt;=0"))</f>
        <v/>
      </c>
      <c r="H43" s="4" t="str">
        <f t="shared" si="0"/>
        <v/>
      </c>
      <c r="I43" s="30" t="str">
        <f t="shared" si="1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"&gt;=0"))</f>
        <v/>
      </c>
      <c r="H44" s="4" t="str">
        <f t="shared" si="0"/>
        <v/>
      </c>
      <c r="I44" s="30" t="str">
        <f t="shared" si="1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"&gt;=0"))</f>
        <v/>
      </c>
      <c r="H45" s="4" t="str">
        <f t="shared" si="0"/>
        <v/>
      </c>
      <c r="I45" s="30" t="str">
        <f t="shared" si="1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"&gt;=0"))</f>
        <v/>
      </c>
      <c r="H46" s="4" t="str">
        <f t="shared" si="0"/>
        <v/>
      </c>
      <c r="I46" s="30" t="str">
        <f t="shared" si="1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"&gt;=0"))</f>
        <v/>
      </c>
      <c r="H47" s="4" t="str">
        <f t="shared" si="0"/>
        <v/>
      </c>
      <c r="I47" s="30" t="str">
        <f t="shared" si="1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"&gt;=0"))</f>
        <v/>
      </c>
      <c r="H48" s="4" t="str">
        <f t="shared" si="0"/>
        <v/>
      </c>
      <c r="I48" s="30" t="str">
        <f t="shared" si="1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"&gt;=0"))</f>
        <v/>
      </c>
      <c r="H49" s="4" t="str">
        <f t="shared" si="0"/>
        <v/>
      </c>
      <c r="I49" s="30" t="str">
        <f t="shared" si="1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"&gt;=0"))</f>
        <v/>
      </c>
      <c r="H50" s="4" t="str">
        <f t="shared" si="0"/>
        <v/>
      </c>
      <c r="I50" s="30" t="str">
        <f t="shared" si="1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"&gt;=0"))</f>
        <v/>
      </c>
      <c r="H51" s="4" t="str">
        <f t="shared" si="0"/>
        <v/>
      </c>
      <c r="I51" s="30" t="str">
        <f t="shared" si="1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"&gt;=0"))</f>
        <v/>
      </c>
      <c r="H52" s="4" t="str">
        <f t="shared" si="0"/>
        <v/>
      </c>
      <c r="I52" s="30" t="str">
        <f t="shared" si="1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"&gt;=0"))</f>
        <v/>
      </c>
      <c r="H53" s="4" t="str">
        <f t="shared" si="0"/>
        <v/>
      </c>
      <c r="I53" s="30" t="str">
        <f t="shared" si="1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"&gt;=0"))</f>
        <v/>
      </c>
      <c r="H54" s="4" t="str">
        <f t="shared" si="0"/>
        <v/>
      </c>
      <c r="I54" s="30" t="str">
        <f t="shared" si="1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"&gt;=0"))</f>
        <v/>
      </c>
      <c r="H55" s="4" t="str">
        <f t="shared" si="0"/>
        <v/>
      </c>
      <c r="I55" s="30" t="str">
        <f t="shared" si="1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"&gt;=0"))</f>
        <v/>
      </c>
      <c r="H56" s="4" t="str">
        <f t="shared" si="0"/>
        <v/>
      </c>
      <c r="I56" s="30" t="str">
        <f t="shared" si="1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"&gt;=0"))</f>
        <v/>
      </c>
      <c r="H57" s="4" t="str">
        <f t="shared" si="0"/>
        <v/>
      </c>
      <c r="I57" s="30" t="str">
        <f t="shared" si="1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"&gt;=0"))</f>
        <v/>
      </c>
      <c r="H58" s="4" t="str">
        <f t="shared" si="0"/>
        <v/>
      </c>
      <c r="I58" s="30" t="str">
        <f t="shared" si="1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"&gt;=0"))</f>
        <v/>
      </c>
      <c r="H59" s="4" t="str">
        <f t="shared" si="0"/>
        <v/>
      </c>
      <c r="I59" s="30" t="str">
        <f t="shared" si="1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"&gt;=0"))</f>
        <v/>
      </c>
      <c r="H60" s="4" t="str">
        <f t="shared" si="0"/>
        <v/>
      </c>
      <c r="I60" s="30" t="str">
        <f t="shared" si="1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"&gt;=0"))</f>
        <v/>
      </c>
      <c r="H61" s="4" t="str">
        <f t="shared" si="0"/>
        <v/>
      </c>
      <c r="I61" s="30" t="str">
        <f t="shared" si="1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"&gt;=0"))</f>
        <v/>
      </c>
      <c r="H62" s="4" t="str">
        <f t="shared" si="0"/>
        <v/>
      </c>
      <c r="I62" s="30" t="str">
        <f t="shared" si="1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"&gt;=0"))</f>
        <v/>
      </c>
      <c r="H63" s="4" t="str">
        <f t="shared" si="0"/>
        <v/>
      </c>
      <c r="I63" s="30" t="str">
        <f t="shared" si="1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"&gt;=0"))</f>
        <v/>
      </c>
      <c r="H64" s="4" t="str">
        <f t="shared" si="0"/>
        <v/>
      </c>
      <c r="I64" s="30" t="str">
        <f t="shared" si="1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"&gt;=0"))</f>
        <v/>
      </c>
      <c r="H65" s="4" t="str">
        <f t="shared" si="0"/>
        <v/>
      </c>
      <c r="I65" s="30" t="str">
        <f t="shared" si="1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"&gt;=0"))</f>
        <v/>
      </c>
      <c r="H66" s="4" t="str">
        <f t="shared" si="0"/>
        <v/>
      </c>
      <c r="I66" s="30" t="str">
        <f t="shared" si="1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"&gt;=0"))</f>
        <v/>
      </c>
      <c r="H67" s="4" t="str">
        <f t="shared" ref="H67:H130" si="2">IFERROR(F67-G67,"")</f>
        <v/>
      </c>
      <c r="I67" s="30" t="str">
        <f t="shared" ref="I67:I130" si="3">IFERROR(IF(F67=0, "N/A", G67/F67),"")</f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"&gt;=0"))</f>
        <v/>
      </c>
      <c r="H68" s="4" t="str">
        <f t="shared" si="2"/>
        <v/>
      </c>
      <c r="I68" s="30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"&gt;=0"))</f>
        <v/>
      </c>
      <c r="H69" s="4" t="str">
        <f t="shared" si="2"/>
        <v/>
      </c>
      <c r="I69" s="30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"&gt;=0"))</f>
        <v/>
      </c>
      <c r="H70" s="4" t="str">
        <f t="shared" si="2"/>
        <v/>
      </c>
      <c r="I70" s="30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"&gt;=0"))</f>
        <v/>
      </c>
      <c r="H71" s="4" t="str">
        <f t="shared" si="2"/>
        <v/>
      </c>
      <c r="I71" s="30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"&gt;=0"))</f>
        <v/>
      </c>
      <c r="H72" s="4" t="str">
        <f t="shared" si="2"/>
        <v/>
      </c>
      <c r="I72" s="30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"&gt;=0"))</f>
        <v/>
      </c>
      <c r="H73" s="4" t="str">
        <f t="shared" si="2"/>
        <v/>
      </c>
      <c r="I73" s="30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"&gt;=0"))</f>
        <v/>
      </c>
      <c r="H74" s="4" t="str">
        <f t="shared" si="2"/>
        <v/>
      </c>
      <c r="I74" s="30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"&gt;=0"))</f>
        <v/>
      </c>
      <c r="H75" s="4" t="str">
        <f t="shared" si="2"/>
        <v/>
      </c>
      <c r="I75" s="30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"&gt;=0"))</f>
        <v/>
      </c>
      <c r="H76" s="4" t="str">
        <f t="shared" si="2"/>
        <v/>
      </c>
      <c r="I76" s="30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"&gt;=0"))</f>
        <v/>
      </c>
      <c r="H77" s="4" t="str">
        <f t="shared" si="2"/>
        <v/>
      </c>
      <c r="I77" s="30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"&gt;=0"))</f>
        <v/>
      </c>
      <c r="H78" s="4" t="str">
        <f t="shared" si="2"/>
        <v/>
      </c>
      <c r="I78" s="30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"&gt;=0"))</f>
        <v/>
      </c>
      <c r="H79" s="4" t="str">
        <f t="shared" si="2"/>
        <v/>
      </c>
      <c r="I79" s="30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"&gt;=0"))</f>
        <v/>
      </c>
      <c r="H80" s="4" t="str">
        <f t="shared" si="2"/>
        <v/>
      </c>
      <c r="I80" s="30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"&gt;=0"))</f>
        <v/>
      </c>
      <c r="H81" s="4" t="str">
        <f t="shared" si="2"/>
        <v/>
      </c>
      <c r="I81" s="30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"&gt;=0"))</f>
        <v/>
      </c>
      <c r="H82" s="4" t="str">
        <f t="shared" si="2"/>
        <v/>
      </c>
      <c r="I82" s="30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"&gt;=0"))</f>
        <v/>
      </c>
      <c r="H83" s="4" t="str">
        <f t="shared" si="2"/>
        <v/>
      </c>
      <c r="I83" s="30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"&gt;=0"))</f>
        <v/>
      </c>
      <c r="H84" s="4" t="str">
        <f t="shared" si="2"/>
        <v/>
      </c>
      <c r="I84" s="30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"&gt;=0"))</f>
        <v/>
      </c>
      <c r="H85" s="4" t="str">
        <f t="shared" si="2"/>
        <v/>
      </c>
      <c r="I85" s="30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"&gt;=0"))</f>
        <v/>
      </c>
      <c r="H86" s="4" t="str">
        <f t="shared" si="2"/>
        <v/>
      </c>
      <c r="I86" s="30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"&gt;=0"))</f>
        <v/>
      </c>
      <c r="H87" s="4" t="str">
        <f t="shared" si="2"/>
        <v/>
      </c>
      <c r="I87" s="30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"&gt;=0"))</f>
        <v/>
      </c>
      <c r="H88" s="4" t="str">
        <f t="shared" si="2"/>
        <v/>
      </c>
      <c r="I88" s="30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"&gt;=0"))</f>
        <v/>
      </c>
      <c r="H89" s="4" t="str">
        <f t="shared" si="2"/>
        <v/>
      </c>
      <c r="I89" s="30" t="str">
        <f t="shared" si="3"/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"&gt;=0"))</f>
        <v/>
      </c>
      <c r="H90" s="4" t="str">
        <f t="shared" si="2"/>
        <v/>
      </c>
      <c r="I90" s="30" t="str">
        <f t="shared" si="3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"&gt;=0"))</f>
        <v/>
      </c>
      <c r="H91" s="4" t="str">
        <f t="shared" si="2"/>
        <v/>
      </c>
      <c r="I91" s="30" t="str">
        <f t="shared" si="3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"&gt;=0"))</f>
        <v/>
      </c>
      <c r="H92" s="4" t="str">
        <f t="shared" si="2"/>
        <v/>
      </c>
      <c r="I92" s="30" t="str">
        <f t="shared" si="3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"&gt;=0"))</f>
        <v/>
      </c>
      <c r="H93" s="4" t="str">
        <f t="shared" si="2"/>
        <v/>
      </c>
      <c r="I93" s="30" t="str">
        <f t="shared" si="3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"&gt;=0"))</f>
        <v/>
      </c>
      <c r="H94" s="4" t="str">
        <f t="shared" si="2"/>
        <v/>
      </c>
      <c r="I94" s="30" t="str">
        <f t="shared" si="3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"&gt;=0"))</f>
        <v/>
      </c>
      <c r="H95" s="4" t="str">
        <f t="shared" si="2"/>
        <v/>
      </c>
      <c r="I95" s="30" t="str">
        <f t="shared" si="3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"&gt;=0"))</f>
        <v/>
      </c>
      <c r="H96" s="4" t="str">
        <f t="shared" si="2"/>
        <v/>
      </c>
      <c r="I96" s="30" t="str">
        <f t="shared" si="3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"&gt;=0"))</f>
        <v/>
      </c>
      <c r="H97" s="4" t="str">
        <f t="shared" si="2"/>
        <v/>
      </c>
      <c r="I97" s="30" t="str">
        <f t="shared" si="3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"&gt;=0"))</f>
        <v/>
      </c>
      <c r="H98" s="4" t="str">
        <f t="shared" si="2"/>
        <v/>
      </c>
      <c r="I98" s="30" t="str">
        <f t="shared" si="3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"&gt;=0"))</f>
        <v/>
      </c>
      <c r="H99" s="4" t="str">
        <f t="shared" si="2"/>
        <v/>
      </c>
      <c r="I99" s="30" t="str">
        <f t="shared" si="3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"&gt;=0"))</f>
        <v/>
      </c>
      <c r="H100" s="4" t="str">
        <f t="shared" si="2"/>
        <v/>
      </c>
      <c r="I100" s="30" t="str">
        <f t="shared" si="3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"&gt;=0"))</f>
        <v/>
      </c>
      <c r="H101" s="4" t="str">
        <f t="shared" si="2"/>
        <v/>
      </c>
      <c r="I101" s="30" t="str">
        <f t="shared" si="3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"&gt;=0"))</f>
        <v/>
      </c>
      <c r="H102" s="4" t="str">
        <f t="shared" si="2"/>
        <v/>
      </c>
      <c r="I102" s="30" t="str">
        <f t="shared" si="3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"&gt;=0"))</f>
        <v/>
      </c>
      <c r="H103" s="4" t="str">
        <f t="shared" si="2"/>
        <v/>
      </c>
      <c r="I103" s="30" t="str">
        <f t="shared" si="3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"&gt;=0"))</f>
        <v/>
      </c>
      <c r="H104" s="4" t="str">
        <f t="shared" si="2"/>
        <v/>
      </c>
      <c r="I104" s="30" t="str">
        <f t="shared" si="3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"&gt;=0"))</f>
        <v/>
      </c>
      <c r="H105" s="4" t="str">
        <f t="shared" si="2"/>
        <v/>
      </c>
      <c r="I105" s="30" t="str">
        <f t="shared" si="3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"&gt;=0"))</f>
        <v/>
      </c>
      <c r="H106" s="4" t="str">
        <f t="shared" si="2"/>
        <v/>
      </c>
      <c r="I106" s="30" t="str">
        <f t="shared" si="3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"&gt;=0"))</f>
        <v/>
      </c>
      <c r="H107" s="4" t="str">
        <f t="shared" si="2"/>
        <v/>
      </c>
      <c r="I107" s="30" t="str">
        <f t="shared" si="3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"&gt;=0"))</f>
        <v/>
      </c>
      <c r="H108" s="4" t="str">
        <f t="shared" si="2"/>
        <v/>
      </c>
      <c r="I108" s="30" t="str">
        <f t="shared" si="3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"&gt;=0"))</f>
        <v/>
      </c>
      <c r="H109" s="4" t="str">
        <f t="shared" si="2"/>
        <v/>
      </c>
      <c r="I109" s="30" t="str">
        <f t="shared" si="3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"&gt;=0"))</f>
        <v/>
      </c>
      <c r="H110" s="4" t="str">
        <f t="shared" si="2"/>
        <v/>
      </c>
      <c r="I110" s="30" t="str">
        <f t="shared" si="3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"&gt;=0"))</f>
        <v/>
      </c>
      <c r="H111" s="4" t="str">
        <f t="shared" si="2"/>
        <v/>
      </c>
      <c r="I111" s="30" t="str">
        <f t="shared" si="3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"&gt;=0"))</f>
        <v/>
      </c>
      <c r="H112" s="4" t="str">
        <f t="shared" si="2"/>
        <v/>
      </c>
      <c r="I112" s="30" t="str">
        <f t="shared" si="3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"&gt;=0"))</f>
        <v/>
      </c>
      <c r="H113" s="4" t="str">
        <f t="shared" si="2"/>
        <v/>
      </c>
      <c r="I113" s="30" t="str">
        <f t="shared" si="3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"&gt;=0"))</f>
        <v/>
      </c>
      <c r="H114" s="4" t="str">
        <f t="shared" si="2"/>
        <v/>
      </c>
      <c r="I114" s="30" t="str">
        <f t="shared" si="3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"&gt;=0"))</f>
        <v/>
      </c>
      <c r="H115" s="4" t="str">
        <f t="shared" si="2"/>
        <v/>
      </c>
      <c r="I115" s="30" t="str">
        <f t="shared" si="3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"&gt;=0"))</f>
        <v/>
      </c>
      <c r="H116" s="4" t="str">
        <f t="shared" si="2"/>
        <v/>
      </c>
      <c r="I116" s="30" t="str">
        <f t="shared" si="3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"&gt;=0"))</f>
        <v/>
      </c>
      <c r="H117" s="4" t="str">
        <f t="shared" si="2"/>
        <v/>
      </c>
      <c r="I117" s="30" t="str">
        <f t="shared" si="3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"&gt;=0"))</f>
        <v/>
      </c>
      <c r="H118" s="4" t="str">
        <f t="shared" si="2"/>
        <v/>
      </c>
      <c r="I118" s="30" t="str">
        <f t="shared" si="3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"&gt;=0"))</f>
        <v/>
      </c>
      <c r="H119" s="4" t="str">
        <f t="shared" si="2"/>
        <v/>
      </c>
      <c r="I119" s="30" t="str">
        <f t="shared" si="3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"&gt;=0"))</f>
        <v/>
      </c>
      <c r="H120" s="4" t="str">
        <f t="shared" si="2"/>
        <v/>
      </c>
      <c r="I120" s="30" t="str">
        <f t="shared" si="3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"&gt;=0"))</f>
        <v/>
      </c>
      <c r="H121" s="4" t="str">
        <f t="shared" si="2"/>
        <v/>
      </c>
      <c r="I121" s="30" t="str">
        <f t="shared" si="3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"&gt;=0"))</f>
        <v/>
      </c>
      <c r="H122" s="4" t="str">
        <f t="shared" si="2"/>
        <v/>
      </c>
      <c r="I122" s="30" t="str">
        <f t="shared" si="3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"&gt;=0"))</f>
        <v/>
      </c>
      <c r="H123" s="4" t="str">
        <f t="shared" si="2"/>
        <v/>
      </c>
      <c r="I123" s="30" t="str">
        <f t="shared" si="3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"&gt;=0"))</f>
        <v/>
      </c>
      <c r="H124" s="4" t="str">
        <f t="shared" si="2"/>
        <v/>
      </c>
      <c r="I124" s="30" t="str">
        <f t="shared" si="3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"&gt;=0"))</f>
        <v/>
      </c>
      <c r="H125" s="4" t="str">
        <f t="shared" si="2"/>
        <v/>
      </c>
      <c r="I125" s="30" t="str">
        <f t="shared" si="3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"&gt;=0"))</f>
        <v/>
      </c>
      <c r="H126" s="4" t="str">
        <f t="shared" si="2"/>
        <v/>
      </c>
      <c r="I126" s="30" t="str">
        <f t="shared" si="3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"&gt;=0"))</f>
        <v/>
      </c>
      <c r="H127" s="4" t="str">
        <f t="shared" si="2"/>
        <v/>
      </c>
      <c r="I127" s="30" t="str">
        <f t="shared" si="3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"&gt;=0"))</f>
        <v/>
      </c>
      <c r="H128" s="4" t="str">
        <f t="shared" si="2"/>
        <v/>
      </c>
      <c r="I128" s="30" t="str">
        <f t="shared" si="3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"&gt;=0"))</f>
        <v/>
      </c>
      <c r="H129" s="4" t="str">
        <f t="shared" si="2"/>
        <v/>
      </c>
      <c r="I129" s="30" t="str">
        <f t="shared" si="3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"&gt;=0"))</f>
        <v/>
      </c>
      <c r="H130" s="4" t="str">
        <f t="shared" si="2"/>
        <v/>
      </c>
      <c r="I130" s="30" t="str">
        <f t="shared" si="3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"&gt;=0"))</f>
        <v/>
      </c>
      <c r="H131" s="4" t="str">
        <f t="shared" ref="H131:H194" si="4">IFERROR(F131-G131,"")</f>
        <v/>
      </c>
      <c r="I131" s="30" t="str">
        <f t="shared" ref="I131:I194" si="5">IFERROR(IF(F131=0, "N/A", G131/F131),"")</f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"&gt;=0"))</f>
        <v/>
      </c>
      <c r="H132" s="4" t="str">
        <f t="shared" si="4"/>
        <v/>
      </c>
      <c r="I132" s="30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"&gt;=0"))</f>
        <v/>
      </c>
      <c r="H133" s="4" t="str">
        <f t="shared" si="4"/>
        <v/>
      </c>
      <c r="I133" s="30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"&gt;=0"))</f>
        <v/>
      </c>
      <c r="H134" s="4" t="str">
        <f t="shared" si="4"/>
        <v/>
      </c>
      <c r="I134" s="30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"&gt;=0"))</f>
        <v/>
      </c>
      <c r="H135" s="4" t="str">
        <f t="shared" si="4"/>
        <v/>
      </c>
      <c r="I135" s="30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"&gt;=0"))</f>
        <v/>
      </c>
      <c r="H136" s="4" t="str">
        <f t="shared" si="4"/>
        <v/>
      </c>
      <c r="I136" s="30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"&gt;=0"))</f>
        <v/>
      </c>
      <c r="H137" s="4" t="str">
        <f t="shared" si="4"/>
        <v/>
      </c>
      <c r="I137" s="30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"&gt;=0"))</f>
        <v/>
      </c>
      <c r="H138" s="4" t="str">
        <f t="shared" si="4"/>
        <v/>
      </c>
      <c r="I138" s="30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"&gt;=0"))</f>
        <v/>
      </c>
      <c r="H139" s="4" t="str">
        <f t="shared" si="4"/>
        <v/>
      </c>
      <c r="I139" s="30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"&gt;=0"))</f>
        <v/>
      </c>
      <c r="H140" s="4" t="str">
        <f t="shared" si="4"/>
        <v/>
      </c>
      <c r="I140" s="30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"&gt;=0"))</f>
        <v/>
      </c>
      <c r="H141" s="4" t="str">
        <f t="shared" si="4"/>
        <v/>
      </c>
      <c r="I141" s="30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"&gt;=0"))</f>
        <v/>
      </c>
      <c r="H142" s="4" t="str">
        <f t="shared" si="4"/>
        <v/>
      </c>
      <c r="I142" s="30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"&gt;=0"))</f>
        <v/>
      </c>
      <c r="H143" s="4" t="str">
        <f t="shared" si="4"/>
        <v/>
      </c>
      <c r="I143" s="30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"&gt;=0"))</f>
        <v/>
      </c>
      <c r="H144" s="4" t="str">
        <f t="shared" si="4"/>
        <v/>
      </c>
      <c r="I144" s="30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"&gt;=0"))</f>
        <v/>
      </c>
      <c r="H145" s="4" t="str">
        <f t="shared" si="4"/>
        <v/>
      </c>
      <c r="I145" s="30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"&gt;=0"))</f>
        <v/>
      </c>
      <c r="H146" s="4" t="str">
        <f t="shared" si="4"/>
        <v/>
      </c>
      <c r="I146" s="30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"&gt;=0"))</f>
        <v/>
      </c>
      <c r="H147" s="4" t="str">
        <f t="shared" si="4"/>
        <v/>
      </c>
      <c r="I147" s="30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"&gt;=0"))</f>
        <v/>
      </c>
      <c r="H148" s="4" t="str">
        <f t="shared" si="4"/>
        <v/>
      </c>
      <c r="I148" s="30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"&gt;=0"))</f>
        <v/>
      </c>
      <c r="H149" s="4" t="str">
        <f t="shared" si="4"/>
        <v/>
      </c>
      <c r="I149" s="30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"&gt;=0"))</f>
        <v/>
      </c>
      <c r="H150" s="4" t="str">
        <f t="shared" si="4"/>
        <v/>
      </c>
      <c r="I150" s="30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"&gt;=0"))</f>
        <v/>
      </c>
      <c r="H151" s="4" t="str">
        <f t="shared" si="4"/>
        <v/>
      </c>
      <c r="I151" s="30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"&gt;=0"))</f>
        <v/>
      </c>
      <c r="H152" s="4" t="str">
        <f t="shared" si="4"/>
        <v/>
      </c>
      <c r="I152" s="30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"&gt;=0"))</f>
        <v/>
      </c>
      <c r="H153" s="4" t="str">
        <f t="shared" si="4"/>
        <v/>
      </c>
      <c r="I153" s="30" t="str">
        <f t="shared" si="5"/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"&gt;=0"))</f>
        <v/>
      </c>
      <c r="H154" s="4" t="str">
        <f t="shared" si="4"/>
        <v/>
      </c>
      <c r="I154" s="30" t="str">
        <f t="shared" si="5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"&gt;=0"))</f>
        <v/>
      </c>
      <c r="H155" s="4" t="str">
        <f t="shared" si="4"/>
        <v/>
      </c>
      <c r="I155" s="30" t="str">
        <f t="shared" si="5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"&gt;=0"))</f>
        <v/>
      </c>
      <c r="H156" s="4" t="str">
        <f t="shared" si="4"/>
        <v/>
      </c>
      <c r="I156" s="30" t="str">
        <f t="shared" si="5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"&gt;=0"))</f>
        <v/>
      </c>
      <c r="H157" s="4" t="str">
        <f t="shared" si="4"/>
        <v/>
      </c>
      <c r="I157" s="30" t="str">
        <f t="shared" si="5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"&gt;=0"))</f>
        <v/>
      </c>
      <c r="H158" s="4" t="str">
        <f t="shared" si="4"/>
        <v/>
      </c>
      <c r="I158" s="30" t="str">
        <f t="shared" si="5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"&gt;=0"))</f>
        <v/>
      </c>
      <c r="H159" s="4" t="str">
        <f t="shared" si="4"/>
        <v/>
      </c>
      <c r="I159" s="30" t="str">
        <f t="shared" si="5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"&gt;=0"))</f>
        <v/>
      </c>
      <c r="H160" s="4" t="str">
        <f t="shared" si="4"/>
        <v/>
      </c>
      <c r="I160" s="30" t="str">
        <f t="shared" si="5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"&gt;=0"))</f>
        <v/>
      </c>
      <c r="H161" s="4" t="str">
        <f t="shared" si="4"/>
        <v/>
      </c>
      <c r="I161" s="30" t="str">
        <f t="shared" si="5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"&gt;=0"))</f>
        <v/>
      </c>
      <c r="H162" s="4" t="str">
        <f t="shared" si="4"/>
        <v/>
      </c>
      <c r="I162" s="30" t="str">
        <f t="shared" si="5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"&gt;=0"))</f>
        <v/>
      </c>
      <c r="H163" s="4" t="str">
        <f t="shared" si="4"/>
        <v/>
      </c>
      <c r="I163" s="30" t="str">
        <f t="shared" si="5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"&gt;=0"))</f>
        <v/>
      </c>
      <c r="H164" s="4" t="str">
        <f t="shared" si="4"/>
        <v/>
      </c>
      <c r="I164" s="30" t="str">
        <f t="shared" si="5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"&gt;=0"))</f>
        <v/>
      </c>
      <c r="H165" s="4" t="str">
        <f t="shared" si="4"/>
        <v/>
      </c>
      <c r="I165" s="30" t="str">
        <f t="shared" si="5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"&gt;=0"))</f>
        <v/>
      </c>
      <c r="H166" s="4" t="str">
        <f t="shared" si="4"/>
        <v/>
      </c>
      <c r="I166" s="30" t="str">
        <f t="shared" si="5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"&gt;=0"))</f>
        <v/>
      </c>
      <c r="H167" s="4" t="str">
        <f t="shared" si="4"/>
        <v/>
      </c>
      <c r="I167" s="30" t="str">
        <f t="shared" si="5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"&gt;=0"))</f>
        <v/>
      </c>
      <c r="H168" s="4" t="str">
        <f t="shared" si="4"/>
        <v/>
      </c>
      <c r="I168" s="30" t="str">
        <f t="shared" si="5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"&gt;=0"))</f>
        <v/>
      </c>
      <c r="H169" s="4" t="str">
        <f t="shared" si="4"/>
        <v/>
      </c>
      <c r="I169" s="30" t="str">
        <f t="shared" si="5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"&gt;=0"))</f>
        <v/>
      </c>
      <c r="H170" s="4" t="str">
        <f t="shared" si="4"/>
        <v/>
      </c>
      <c r="I170" s="30" t="str">
        <f t="shared" si="5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"&gt;=0"))</f>
        <v/>
      </c>
      <c r="H171" s="4" t="str">
        <f t="shared" si="4"/>
        <v/>
      </c>
      <c r="I171" s="30" t="str">
        <f t="shared" si="5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"&gt;=0"))</f>
        <v/>
      </c>
      <c r="H172" s="4" t="str">
        <f t="shared" si="4"/>
        <v/>
      </c>
      <c r="I172" s="30" t="str">
        <f t="shared" si="5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"&gt;=0"))</f>
        <v/>
      </c>
      <c r="H173" s="4" t="str">
        <f t="shared" si="4"/>
        <v/>
      </c>
      <c r="I173" s="30" t="str">
        <f t="shared" si="5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"&gt;=0"))</f>
        <v/>
      </c>
      <c r="H174" s="4" t="str">
        <f t="shared" si="4"/>
        <v/>
      </c>
      <c r="I174" s="30" t="str">
        <f t="shared" si="5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"&gt;=0"))</f>
        <v/>
      </c>
      <c r="H175" s="4" t="str">
        <f t="shared" si="4"/>
        <v/>
      </c>
      <c r="I175" s="30" t="str">
        <f t="shared" si="5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"&gt;=0"))</f>
        <v/>
      </c>
      <c r="H176" s="4" t="str">
        <f t="shared" si="4"/>
        <v/>
      </c>
      <c r="I176" s="30" t="str">
        <f t="shared" si="5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"&gt;=0"))</f>
        <v/>
      </c>
      <c r="H177" s="4" t="str">
        <f t="shared" si="4"/>
        <v/>
      </c>
      <c r="I177" s="30" t="str">
        <f t="shared" si="5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"&gt;=0"))</f>
        <v/>
      </c>
      <c r="H178" s="4" t="str">
        <f t="shared" si="4"/>
        <v/>
      </c>
      <c r="I178" s="30" t="str">
        <f t="shared" si="5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"&gt;=0"))</f>
        <v/>
      </c>
      <c r="H179" s="4" t="str">
        <f t="shared" si="4"/>
        <v/>
      </c>
      <c r="I179" s="30" t="str">
        <f t="shared" si="5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"&gt;=0"))</f>
        <v/>
      </c>
      <c r="H180" s="4" t="str">
        <f t="shared" si="4"/>
        <v/>
      </c>
      <c r="I180" s="30" t="str">
        <f t="shared" si="5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"&gt;=0"))</f>
        <v/>
      </c>
      <c r="H181" s="4" t="str">
        <f t="shared" si="4"/>
        <v/>
      </c>
      <c r="I181" s="30" t="str">
        <f t="shared" si="5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"&gt;=0"))</f>
        <v/>
      </c>
      <c r="H182" s="4" t="str">
        <f t="shared" si="4"/>
        <v/>
      </c>
      <c r="I182" s="30" t="str">
        <f t="shared" si="5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"&gt;=0"))</f>
        <v/>
      </c>
      <c r="H183" s="4" t="str">
        <f t="shared" si="4"/>
        <v/>
      </c>
      <c r="I183" s="30" t="str">
        <f t="shared" si="5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"&gt;=0"))</f>
        <v/>
      </c>
      <c r="H184" s="4" t="str">
        <f t="shared" si="4"/>
        <v/>
      </c>
      <c r="I184" s="30" t="str">
        <f t="shared" si="5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"&gt;=0"))</f>
        <v/>
      </c>
      <c r="H185" s="4" t="str">
        <f t="shared" si="4"/>
        <v/>
      </c>
      <c r="I185" s="30" t="str">
        <f t="shared" si="5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"&gt;=0"))</f>
        <v/>
      </c>
      <c r="H186" s="4" t="str">
        <f t="shared" si="4"/>
        <v/>
      </c>
      <c r="I186" s="30" t="str">
        <f t="shared" si="5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"&gt;=0"))</f>
        <v/>
      </c>
      <c r="H187" s="4" t="str">
        <f t="shared" si="4"/>
        <v/>
      </c>
      <c r="I187" s="30" t="str">
        <f t="shared" si="5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"&gt;=0"))</f>
        <v/>
      </c>
      <c r="H188" s="4" t="str">
        <f t="shared" si="4"/>
        <v/>
      </c>
      <c r="I188" s="30" t="str">
        <f t="shared" si="5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"&gt;=0"))</f>
        <v/>
      </c>
      <c r="H189" s="4" t="str">
        <f t="shared" si="4"/>
        <v/>
      </c>
      <c r="I189" s="30" t="str">
        <f t="shared" si="5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"&gt;=0"))</f>
        <v/>
      </c>
      <c r="H190" s="4" t="str">
        <f t="shared" si="4"/>
        <v/>
      </c>
      <c r="I190" s="30" t="str">
        <f t="shared" si="5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"&gt;=0"))</f>
        <v/>
      </c>
      <c r="H191" s="4" t="str">
        <f t="shared" si="4"/>
        <v/>
      </c>
      <c r="I191" s="30" t="str">
        <f t="shared" si="5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"&gt;=0"))</f>
        <v/>
      </c>
      <c r="H192" s="4" t="str">
        <f t="shared" si="4"/>
        <v/>
      </c>
      <c r="I192" s="30" t="str">
        <f t="shared" si="5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"&gt;=0"))</f>
        <v/>
      </c>
      <c r="H193" s="4" t="str">
        <f t="shared" si="4"/>
        <v/>
      </c>
      <c r="I193" s="30" t="str">
        <f t="shared" si="5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"&gt;=0"))</f>
        <v/>
      </c>
      <c r="H194" s="4" t="str">
        <f t="shared" si="4"/>
        <v/>
      </c>
      <c r="I194" s="30" t="str">
        <f t="shared" si="5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"&gt;=0"))</f>
        <v/>
      </c>
      <c r="H195" s="4" t="str">
        <f t="shared" ref="H195:H258" si="6">IFERROR(F195-G195,"")</f>
        <v/>
      </c>
      <c r="I195" s="30" t="str">
        <f t="shared" ref="I195:I258" si="7">IFERROR(IF(F195=0, "N/A", G195/F195),"")</f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"&gt;=0"))</f>
        <v/>
      </c>
      <c r="H196" s="4" t="str">
        <f t="shared" si="6"/>
        <v/>
      </c>
      <c r="I196" s="30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"&gt;=0"))</f>
        <v/>
      </c>
      <c r="H197" s="4" t="str">
        <f t="shared" si="6"/>
        <v/>
      </c>
      <c r="I197" s="30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"&gt;=0"))</f>
        <v/>
      </c>
      <c r="H198" s="4" t="str">
        <f t="shared" si="6"/>
        <v/>
      </c>
      <c r="I198" s="30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"&gt;=0"))</f>
        <v/>
      </c>
      <c r="H199" s="4" t="str">
        <f t="shared" si="6"/>
        <v/>
      </c>
      <c r="I199" s="30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"&gt;=0"))</f>
        <v/>
      </c>
      <c r="H200" s="4" t="str">
        <f t="shared" si="6"/>
        <v/>
      </c>
      <c r="I200" s="30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"&gt;=0"))</f>
        <v/>
      </c>
      <c r="H201" s="4" t="str">
        <f t="shared" si="6"/>
        <v/>
      </c>
      <c r="I201" s="30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"&gt;=0"))</f>
        <v/>
      </c>
      <c r="H202" s="4" t="str">
        <f t="shared" si="6"/>
        <v/>
      </c>
      <c r="I202" s="30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"&gt;=0"))</f>
        <v/>
      </c>
      <c r="H203" s="4" t="str">
        <f t="shared" si="6"/>
        <v/>
      </c>
      <c r="I203" s="30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"&gt;=0"))</f>
        <v/>
      </c>
      <c r="H204" s="4" t="str">
        <f t="shared" si="6"/>
        <v/>
      </c>
      <c r="I204" s="30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"&gt;=0"))</f>
        <v/>
      </c>
      <c r="H205" s="4" t="str">
        <f t="shared" si="6"/>
        <v/>
      </c>
      <c r="I205" s="30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"&gt;=0"))</f>
        <v/>
      </c>
      <c r="H206" s="4" t="str">
        <f t="shared" si="6"/>
        <v/>
      </c>
      <c r="I206" s="30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"&gt;=0"))</f>
        <v/>
      </c>
      <c r="H207" s="4" t="str">
        <f t="shared" si="6"/>
        <v/>
      </c>
      <c r="I207" s="30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"&gt;=0"))</f>
        <v/>
      </c>
      <c r="H208" s="4" t="str">
        <f t="shared" si="6"/>
        <v/>
      </c>
      <c r="I208" s="30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"&gt;=0"))</f>
        <v/>
      </c>
      <c r="H209" s="4" t="str">
        <f t="shared" si="6"/>
        <v/>
      </c>
      <c r="I209" s="30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"&gt;=0"))</f>
        <v/>
      </c>
      <c r="H210" s="4" t="str">
        <f t="shared" si="6"/>
        <v/>
      </c>
      <c r="I210" s="30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"&gt;=0"))</f>
        <v/>
      </c>
      <c r="H211" s="4" t="str">
        <f t="shared" si="6"/>
        <v/>
      </c>
      <c r="I211" s="30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"&gt;=0"))</f>
        <v/>
      </c>
      <c r="H212" s="4" t="str">
        <f t="shared" si="6"/>
        <v/>
      </c>
      <c r="I212" s="30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"&gt;=0"))</f>
        <v/>
      </c>
      <c r="H213" s="4" t="str">
        <f t="shared" si="6"/>
        <v/>
      </c>
      <c r="I213" s="30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"&gt;=0"))</f>
        <v/>
      </c>
      <c r="H214" s="4" t="str">
        <f t="shared" si="6"/>
        <v/>
      </c>
      <c r="I214" s="30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"&gt;=0"))</f>
        <v/>
      </c>
      <c r="H215" s="4" t="str">
        <f t="shared" si="6"/>
        <v/>
      </c>
      <c r="I215" s="30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"&gt;=0"))</f>
        <v/>
      </c>
      <c r="H216" s="4" t="str">
        <f t="shared" si="6"/>
        <v/>
      </c>
      <c r="I216" s="30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"&gt;=0"))</f>
        <v/>
      </c>
      <c r="H217" s="4" t="str">
        <f t="shared" si="6"/>
        <v/>
      </c>
      <c r="I217" s="30" t="str">
        <f t="shared" si="7"/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"&gt;=0"))</f>
        <v/>
      </c>
      <c r="H218" s="4" t="str">
        <f t="shared" si="6"/>
        <v/>
      </c>
      <c r="I218" s="30" t="str">
        <f t="shared" si="7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"&gt;=0"))</f>
        <v/>
      </c>
      <c r="H219" s="4" t="str">
        <f t="shared" si="6"/>
        <v/>
      </c>
      <c r="I219" s="30" t="str">
        <f t="shared" si="7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"&gt;=0"))</f>
        <v/>
      </c>
      <c r="H220" s="4" t="str">
        <f t="shared" si="6"/>
        <v/>
      </c>
      <c r="I220" s="30" t="str">
        <f t="shared" si="7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"&gt;=0"))</f>
        <v/>
      </c>
      <c r="H221" s="4" t="str">
        <f t="shared" si="6"/>
        <v/>
      </c>
      <c r="I221" s="30" t="str">
        <f t="shared" si="7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"&gt;=0"))</f>
        <v/>
      </c>
      <c r="H222" s="4" t="str">
        <f t="shared" si="6"/>
        <v/>
      </c>
      <c r="I222" s="30" t="str">
        <f t="shared" si="7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"&gt;=0"))</f>
        <v/>
      </c>
      <c r="H223" s="4" t="str">
        <f t="shared" si="6"/>
        <v/>
      </c>
      <c r="I223" s="30" t="str">
        <f t="shared" si="7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"&gt;=0"))</f>
        <v/>
      </c>
      <c r="H224" s="4" t="str">
        <f t="shared" si="6"/>
        <v/>
      </c>
      <c r="I224" s="30" t="str">
        <f t="shared" si="7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"&gt;=0"))</f>
        <v/>
      </c>
      <c r="H225" s="4" t="str">
        <f t="shared" si="6"/>
        <v/>
      </c>
      <c r="I225" s="30" t="str">
        <f t="shared" si="7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"&gt;=0"))</f>
        <v/>
      </c>
      <c r="H226" s="4" t="str">
        <f t="shared" si="6"/>
        <v/>
      </c>
      <c r="I226" s="30" t="str">
        <f t="shared" si="7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"&gt;=0"))</f>
        <v/>
      </c>
      <c r="H227" s="4" t="str">
        <f t="shared" si="6"/>
        <v/>
      </c>
      <c r="I227" s="30" t="str">
        <f t="shared" si="7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"&gt;=0"))</f>
        <v/>
      </c>
      <c r="H228" s="4" t="str">
        <f t="shared" si="6"/>
        <v/>
      </c>
      <c r="I228" s="30" t="str">
        <f t="shared" si="7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"&gt;=0"))</f>
        <v/>
      </c>
      <c r="H229" s="4" t="str">
        <f t="shared" si="6"/>
        <v/>
      </c>
      <c r="I229" s="30" t="str">
        <f t="shared" si="7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"&gt;=0"))</f>
        <v/>
      </c>
      <c r="H230" s="4" t="str">
        <f t="shared" si="6"/>
        <v/>
      </c>
      <c r="I230" s="30" t="str">
        <f t="shared" si="7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"&gt;=0"))</f>
        <v/>
      </c>
      <c r="H231" s="4" t="str">
        <f t="shared" si="6"/>
        <v/>
      </c>
      <c r="I231" s="30" t="str">
        <f t="shared" si="7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"&gt;=0"))</f>
        <v/>
      </c>
      <c r="H232" s="4" t="str">
        <f t="shared" si="6"/>
        <v/>
      </c>
      <c r="I232" s="30" t="str">
        <f t="shared" si="7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"&gt;=0"))</f>
        <v/>
      </c>
      <c r="H233" s="4" t="str">
        <f t="shared" si="6"/>
        <v/>
      </c>
      <c r="I233" s="30" t="str">
        <f t="shared" si="7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"&gt;=0"))</f>
        <v/>
      </c>
      <c r="H234" s="4" t="str">
        <f t="shared" si="6"/>
        <v/>
      </c>
      <c r="I234" s="30" t="str">
        <f t="shared" si="7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"&gt;=0"))</f>
        <v/>
      </c>
      <c r="H235" s="4" t="str">
        <f t="shared" si="6"/>
        <v/>
      </c>
      <c r="I235" s="30" t="str">
        <f t="shared" si="7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"&gt;=0"))</f>
        <v/>
      </c>
      <c r="H236" s="4" t="str">
        <f t="shared" si="6"/>
        <v/>
      </c>
      <c r="I236" s="30" t="str">
        <f t="shared" si="7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"&gt;=0"))</f>
        <v/>
      </c>
      <c r="H237" s="4" t="str">
        <f t="shared" si="6"/>
        <v/>
      </c>
      <c r="I237" s="30" t="str">
        <f t="shared" si="7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"&gt;=0"))</f>
        <v/>
      </c>
      <c r="H238" s="4" t="str">
        <f t="shared" si="6"/>
        <v/>
      </c>
      <c r="I238" s="30" t="str">
        <f t="shared" si="7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"&gt;=0"))</f>
        <v/>
      </c>
      <c r="H239" s="4" t="str">
        <f t="shared" si="6"/>
        <v/>
      </c>
      <c r="I239" s="30" t="str">
        <f t="shared" si="7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"&gt;=0"))</f>
        <v/>
      </c>
      <c r="H240" s="4" t="str">
        <f t="shared" si="6"/>
        <v/>
      </c>
      <c r="I240" s="30" t="str">
        <f t="shared" si="7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"&gt;=0"))</f>
        <v/>
      </c>
      <c r="H241" s="4" t="str">
        <f t="shared" si="6"/>
        <v/>
      </c>
      <c r="I241" s="30" t="str">
        <f t="shared" si="7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"&gt;=0"))</f>
        <v/>
      </c>
      <c r="H242" s="4" t="str">
        <f t="shared" si="6"/>
        <v/>
      </c>
      <c r="I242" s="30" t="str">
        <f t="shared" si="7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"&gt;=0"))</f>
        <v/>
      </c>
      <c r="H243" s="4" t="str">
        <f t="shared" si="6"/>
        <v/>
      </c>
      <c r="I243" s="30" t="str">
        <f t="shared" si="7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"&gt;=0"))</f>
        <v/>
      </c>
      <c r="H244" s="4" t="str">
        <f t="shared" si="6"/>
        <v/>
      </c>
      <c r="I244" s="30" t="str">
        <f t="shared" si="7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"&gt;=0"))</f>
        <v/>
      </c>
      <c r="H245" s="4" t="str">
        <f t="shared" si="6"/>
        <v/>
      </c>
      <c r="I245" s="30" t="str">
        <f t="shared" si="7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"&gt;=0"))</f>
        <v/>
      </c>
      <c r="H246" s="4" t="str">
        <f t="shared" si="6"/>
        <v/>
      </c>
      <c r="I246" s="30" t="str">
        <f t="shared" si="7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"&gt;=0"))</f>
        <v/>
      </c>
      <c r="H247" s="4" t="str">
        <f t="shared" si="6"/>
        <v/>
      </c>
      <c r="I247" s="30" t="str">
        <f t="shared" si="7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"&gt;=0"))</f>
        <v/>
      </c>
      <c r="H248" s="4" t="str">
        <f t="shared" si="6"/>
        <v/>
      </c>
      <c r="I248" s="30" t="str">
        <f t="shared" si="7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"&gt;=0"))</f>
        <v/>
      </c>
      <c r="H249" s="4" t="str">
        <f t="shared" si="6"/>
        <v/>
      </c>
      <c r="I249" s="30" t="str">
        <f t="shared" si="7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"&gt;=0"))</f>
        <v/>
      </c>
      <c r="H250" s="4" t="str">
        <f t="shared" si="6"/>
        <v/>
      </c>
      <c r="I250" s="30" t="str">
        <f t="shared" si="7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"&gt;=0"))</f>
        <v/>
      </c>
      <c r="H251" s="4" t="str">
        <f t="shared" si="6"/>
        <v/>
      </c>
      <c r="I251" s="30" t="str">
        <f t="shared" si="7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"&gt;=0"))</f>
        <v/>
      </c>
      <c r="H252" s="4" t="str">
        <f t="shared" si="6"/>
        <v/>
      </c>
      <c r="I252" s="30" t="str">
        <f t="shared" si="7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"&gt;=0"))</f>
        <v/>
      </c>
      <c r="H253" s="4" t="str">
        <f t="shared" si="6"/>
        <v/>
      </c>
      <c r="I253" s="30" t="str">
        <f t="shared" si="7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"&gt;=0"))</f>
        <v/>
      </c>
      <c r="H254" s="4" t="str">
        <f t="shared" si="6"/>
        <v/>
      </c>
      <c r="I254" s="30" t="str">
        <f t="shared" si="7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"&gt;=0"))</f>
        <v/>
      </c>
      <c r="H255" s="4" t="str">
        <f t="shared" si="6"/>
        <v/>
      </c>
      <c r="I255" s="30" t="str">
        <f t="shared" si="7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"&gt;=0"))</f>
        <v/>
      </c>
      <c r="H256" s="4" t="str">
        <f t="shared" si="6"/>
        <v/>
      </c>
      <c r="I256" s="30" t="str">
        <f t="shared" si="7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"&gt;=0"))</f>
        <v/>
      </c>
      <c r="H257" s="4" t="str">
        <f t="shared" si="6"/>
        <v/>
      </c>
      <c r="I257" s="30" t="str">
        <f t="shared" si="7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"&gt;=0"))</f>
        <v/>
      </c>
      <c r="H258" s="4" t="str">
        <f t="shared" si="6"/>
        <v/>
      </c>
      <c r="I258" s="30" t="str">
        <f t="shared" si="7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"&gt;=0"))</f>
        <v/>
      </c>
      <c r="H259" s="4" t="str">
        <f t="shared" ref="H259:H322" si="8">IFERROR(F259-G259,"")</f>
        <v/>
      </c>
      <c r="I259" s="30" t="str">
        <f t="shared" ref="I259:I322" si="9">IFERROR(IF(F259=0, "N/A", G259/F259),"")</f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"&gt;=0"))</f>
        <v/>
      </c>
      <c r="H260" s="4" t="str">
        <f t="shared" si="8"/>
        <v/>
      </c>
      <c r="I260" s="30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"&gt;=0"))</f>
        <v/>
      </c>
      <c r="H261" s="4" t="str">
        <f t="shared" si="8"/>
        <v/>
      </c>
      <c r="I261" s="30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"&gt;=0"))</f>
        <v/>
      </c>
      <c r="H262" s="4" t="str">
        <f t="shared" si="8"/>
        <v/>
      </c>
      <c r="I262" s="30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"&gt;=0"))</f>
        <v/>
      </c>
      <c r="H263" s="4" t="str">
        <f t="shared" si="8"/>
        <v/>
      </c>
      <c r="I263" s="30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"&gt;=0"))</f>
        <v/>
      </c>
      <c r="H264" s="4" t="str">
        <f t="shared" si="8"/>
        <v/>
      </c>
      <c r="I264" s="30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"&gt;=0"))</f>
        <v/>
      </c>
      <c r="H265" s="4" t="str">
        <f t="shared" si="8"/>
        <v/>
      </c>
      <c r="I265" s="30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"&gt;=0"))</f>
        <v/>
      </c>
      <c r="H266" s="4" t="str">
        <f t="shared" si="8"/>
        <v/>
      </c>
      <c r="I266" s="30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"&gt;=0"))</f>
        <v/>
      </c>
      <c r="H267" s="4" t="str">
        <f t="shared" si="8"/>
        <v/>
      </c>
      <c r="I267" s="30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"&gt;=0"))</f>
        <v/>
      </c>
      <c r="H268" s="4" t="str">
        <f t="shared" si="8"/>
        <v/>
      </c>
      <c r="I268" s="30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"&gt;=0"))</f>
        <v/>
      </c>
      <c r="H269" s="4" t="str">
        <f t="shared" si="8"/>
        <v/>
      </c>
      <c r="I269" s="30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"&gt;=0"))</f>
        <v/>
      </c>
      <c r="H270" s="4" t="str">
        <f t="shared" si="8"/>
        <v/>
      </c>
      <c r="I270" s="30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"&gt;=0"))</f>
        <v/>
      </c>
      <c r="H271" s="4" t="str">
        <f t="shared" si="8"/>
        <v/>
      </c>
      <c r="I271" s="30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"&gt;=0"))</f>
        <v/>
      </c>
      <c r="H272" s="4" t="str">
        <f t="shared" si="8"/>
        <v/>
      </c>
      <c r="I272" s="30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"&gt;=0"))</f>
        <v/>
      </c>
      <c r="H273" s="4" t="str">
        <f t="shared" si="8"/>
        <v/>
      </c>
      <c r="I273" s="30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"&gt;=0"))</f>
        <v/>
      </c>
      <c r="H274" s="4" t="str">
        <f t="shared" si="8"/>
        <v/>
      </c>
      <c r="I274" s="30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"&gt;=0"))</f>
        <v/>
      </c>
      <c r="H275" s="4" t="str">
        <f t="shared" si="8"/>
        <v/>
      </c>
      <c r="I275" s="30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"&gt;=0"))</f>
        <v/>
      </c>
      <c r="H276" s="4" t="str">
        <f t="shared" si="8"/>
        <v/>
      </c>
      <c r="I276" s="30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"&gt;=0"))</f>
        <v/>
      </c>
      <c r="H277" s="4" t="str">
        <f t="shared" si="8"/>
        <v/>
      </c>
      <c r="I277" s="30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"&gt;=0"))</f>
        <v/>
      </c>
      <c r="H278" s="4" t="str">
        <f t="shared" si="8"/>
        <v/>
      </c>
      <c r="I278" s="30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"&gt;=0"))</f>
        <v/>
      </c>
      <c r="H279" s="4" t="str">
        <f t="shared" si="8"/>
        <v/>
      </c>
      <c r="I279" s="30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"&gt;=0"))</f>
        <v/>
      </c>
      <c r="H280" s="4" t="str">
        <f t="shared" si="8"/>
        <v/>
      </c>
      <c r="I280" s="30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"&gt;=0"))</f>
        <v/>
      </c>
      <c r="H281" s="4" t="str">
        <f t="shared" si="8"/>
        <v/>
      </c>
      <c r="I281" s="30" t="str">
        <f t="shared" si="9"/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"&gt;=0"))</f>
        <v/>
      </c>
      <c r="H282" s="4" t="str">
        <f t="shared" si="8"/>
        <v/>
      </c>
      <c r="I282" s="30" t="str">
        <f t="shared" si="9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"&gt;=0"))</f>
        <v/>
      </c>
      <c r="H283" s="4" t="str">
        <f t="shared" si="8"/>
        <v/>
      </c>
      <c r="I283" s="30" t="str">
        <f t="shared" si="9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"&gt;=0"))</f>
        <v/>
      </c>
      <c r="H284" s="4" t="str">
        <f t="shared" si="8"/>
        <v/>
      </c>
      <c r="I284" s="30" t="str">
        <f t="shared" si="9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"&gt;=0"))</f>
        <v/>
      </c>
      <c r="H285" s="4" t="str">
        <f t="shared" si="8"/>
        <v/>
      </c>
      <c r="I285" s="30" t="str">
        <f t="shared" si="9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"&gt;=0"))</f>
        <v/>
      </c>
      <c r="H286" s="4" t="str">
        <f t="shared" si="8"/>
        <v/>
      </c>
      <c r="I286" s="30" t="str">
        <f t="shared" si="9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"&gt;=0"))</f>
        <v/>
      </c>
      <c r="H287" s="4" t="str">
        <f t="shared" si="8"/>
        <v/>
      </c>
      <c r="I287" s="30" t="str">
        <f t="shared" si="9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"&gt;=0"))</f>
        <v/>
      </c>
      <c r="H288" s="4" t="str">
        <f t="shared" si="8"/>
        <v/>
      </c>
      <c r="I288" s="30" t="str">
        <f t="shared" si="9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"&gt;=0"))</f>
        <v/>
      </c>
      <c r="H289" s="4" t="str">
        <f t="shared" si="8"/>
        <v/>
      </c>
      <c r="I289" s="30" t="str">
        <f t="shared" si="9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"&gt;=0"))</f>
        <v/>
      </c>
      <c r="H290" s="4" t="str">
        <f t="shared" si="8"/>
        <v/>
      </c>
      <c r="I290" s="30" t="str">
        <f t="shared" si="9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"&gt;=0"))</f>
        <v/>
      </c>
      <c r="H291" s="4" t="str">
        <f t="shared" si="8"/>
        <v/>
      </c>
      <c r="I291" s="30" t="str">
        <f t="shared" si="9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"&gt;=0"))</f>
        <v/>
      </c>
      <c r="H292" s="4" t="str">
        <f t="shared" si="8"/>
        <v/>
      </c>
      <c r="I292" s="30" t="str">
        <f t="shared" si="9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"&gt;=0"))</f>
        <v/>
      </c>
      <c r="H293" s="4" t="str">
        <f t="shared" si="8"/>
        <v/>
      </c>
      <c r="I293" s="30" t="str">
        <f t="shared" si="9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"&gt;=0"))</f>
        <v/>
      </c>
      <c r="H294" s="4" t="str">
        <f t="shared" si="8"/>
        <v/>
      </c>
      <c r="I294" s="30" t="str">
        <f t="shared" si="9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"&gt;=0"))</f>
        <v/>
      </c>
      <c r="H295" s="4" t="str">
        <f t="shared" si="8"/>
        <v/>
      </c>
      <c r="I295" s="30" t="str">
        <f t="shared" si="9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"&gt;=0"))</f>
        <v/>
      </c>
      <c r="H296" s="4" t="str">
        <f t="shared" si="8"/>
        <v/>
      </c>
      <c r="I296" s="30" t="str">
        <f t="shared" si="9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"&gt;=0"))</f>
        <v/>
      </c>
      <c r="H297" s="4" t="str">
        <f t="shared" si="8"/>
        <v/>
      </c>
      <c r="I297" s="30" t="str">
        <f t="shared" si="9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"&gt;=0"))</f>
        <v/>
      </c>
      <c r="H298" s="4" t="str">
        <f t="shared" si="8"/>
        <v/>
      </c>
      <c r="I298" s="30" t="str">
        <f t="shared" si="9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"&gt;=0"))</f>
        <v/>
      </c>
      <c r="H299" s="4" t="str">
        <f t="shared" si="8"/>
        <v/>
      </c>
      <c r="I299" s="30" t="str">
        <f t="shared" si="9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"&gt;=0"))</f>
        <v/>
      </c>
      <c r="H300" s="4" t="str">
        <f t="shared" si="8"/>
        <v/>
      </c>
      <c r="I300" s="30" t="str">
        <f t="shared" si="9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"&gt;=0"))</f>
        <v/>
      </c>
      <c r="H301" s="4" t="str">
        <f t="shared" si="8"/>
        <v/>
      </c>
      <c r="I301" s="30" t="str">
        <f t="shared" si="9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"&gt;=0"))</f>
        <v/>
      </c>
      <c r="H302" s="4" t="str">
        <f t="shared" si="8"/>
        <v/>
      </c>
      <c r="I302" s="30" t="str">
        <f t="shared" si="9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"&gt;=0"))</f>
        <v/>
      </c>
      <c r="H303" s="4" t="str">
        <f t="shared" si="8"/>
        <v/>
      </c>
      <c r="I303" s="30" t="str">
        <f t="shared" si="9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"&gt;=0"))</f>
        <v/>
      </c>
      <c r="H304" s="4" t="str">
        <f t="shared" si="8"/>
        <v/>
      </c>
      <c r="I304" s="30" t="str">
        <f t="shared" si="9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"&gt;=0"))</f>
        <v/>
      </c>
      <c r="H305" s="4" t="str">
        <f t="shared" si="8"/>
        <v/>
      </c>
      <c r="I305" s="30" t="str">
        <f t="shared" si="9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"&gt;=0"))</f>
        <v/>
      </c>
      <c r="H306" s="4" t="str">
        <f t="shared" si="8"/>
        <v/>
      </c>
      <c r="I306" s="30" t="str">
        <f t="shared" si="9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"&gt;=0"))</f>
        <v/>
      </c>
      <c r="H307" s="4" t="str">
        <f t="shared" si="8"/>
        <v/>
      </c>
      <c r="I307" s="30" t="str">
        <f t="shared" si="9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"&gt;=0"))</f>
        <v/>
      </c>
      <c r="H308" s="4" t="str">
        <f t="shared" si="8"/>
        <v/>
      </c>
      <c r="I308" s="30" t="str">
        <f t="shared" si="9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"&gt;=0"))</f>
        <v/>
      </c>
      <c r="H309" s="4" t="str">
        <f t="shared" si="8"/>
        <v/>
      </c>
      <c r="I309" s="30" t="str">
        <f t="shared" si="9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"&gt;=0"))</f>
        <v/>
      </c>
      <c r="H310" s="4" t="str">
        <f t="shared" si="8"/>
        <v/>
      </c>
      <c r="I310" s="30" t="str">
        <f t="shared" si="9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"&gt;=0"))</f>
        <v/>
      </c>
      <c r="H311" s="4" t="str">
        <f t="shared" si="8"/>
        <v/>
      </c>
      <c r="I311" s="30" t="str">
        <f t="shared" si="9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"&gt;=0"))</f>
        <v/>
      </c>
      <c r="H312" s="4" t="str">
        <f t="shared" si="8"/>
        <v/>
      </c>
      <c r="I312" s="30" t="str">
        <f t="shared" si="9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"&gt;=0"))</f>
        <v/>
      </c>
      <c r="H313" s="4" t="str">
        <f t="shared" si="8"/>
        <v/>
      </c>
      <c r="I313" s="30" t="str">
        <f t="shared" si="9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"&gt;=0"))</f>
        <v/>
      </c>
      <c r="H314" s="4" t="str">
        <f t="shared" si="8"/>
        <v/>
      </c>
      <c r="I314" s="30" t="str">
        <f t="shared" si="9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"&gt;=0"))</f>
        <v/>
      </c>
      <c r="H315" s="4" t="str">
        <f t="shared" si="8"/>
        <v/>
      </c>
      <c r="I315" s="30" t="str">
        <f t="shared" si="9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"&gt;=0"))</f>
        <v/>
      </c>
      <c r="H316" s="4" t="str">
        <f t="shared" si="8"/>
        <v/>
      </c>
      <c r="I316" s="30" t="str">
        <f t="shared" si="9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"&gt;=0"))</f>
        <v/>
      </c>
      <c r="H317" s="4" t="str">
        <f t="shared" si="8"/>
        <v/>
      </c>
      <c r="I317" s="30" t="str">
        <f t="shared" si="9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"&gt;=0"))</f>
        <v/>
      </c>
      <c r="H318" s="4" t="str">
        <f t="shared" si="8"/>
        <v/>
      </c>
      <c r="I318" s="30" t="str">
        <f t="shared" si="9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"&gt;=0"))</f>
        <v/>
      </c>
      <c r="H319" s="4" t="str">
        <f t="shared" si="8"/>
        <v/>
      </c>
      <c r="I319" s="30" t="str">
        <f t="shared" si="9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"&gt;=0"))</f>
        <v/>
      </c>
      <c r="H320" s="4" t="str">
        <f t="shared" si="8"/>
        <v/>
      </c>
      <c r="I320" s="30" t="str">
        <f t="shared" si="9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"&gt;=0"))</f>
        <v/>
      </c>
      <c r="H321" s="4" t="str">
        <f t="shared" si="8"/>
        <v/>
      </c>
      <c r="I321" s="30" t="str">
        <f t="shared" si="9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"&gt;=0"))</f>
        <v/>
      </c>
      <c r="H322" s="4" t="str">
        <f t="shared" si="8"/>
        <v/>
      </c>
      <c r="I322" s="30" t="str">
        <f t="shared" si="9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"&gt;=0"))</f>
        <v/>
      </c>
      <c r="H323" s="4" t="str">
        <f t="shared" ref="H323:H386" si="10">IFERROR(F323-G323,"")</f>
        <v/>
      </c>
      <c r="I323" s="30" t="str">
        <f t="shared" ref="I323:I386" si="11">IFERROR(IF(F323=0, "N/A", G323/F323),"")</f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"&gt;=0"))</f>
        <v/>
      </c>
      <c r="H324" s="4" t="str">
        <f t="shared" si="10"/>
        <v/>
      </c>
      <c r="I324" s="30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"&gt;=0"))</f>
        <v/>
      </c>
      <c r="H325" s="4" t="str">
        <f t="shared" si="10"/>
        <v/>
      </c>
      <c r="I325" s="30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"&gt;=0"))</f>
        <v/>
      </c>
      <c r="H326" s="4" t="str">
        <f t="shared" si="10"/>
        <v/>
      </c>
      <c r="I326" s="30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"&gt;=0"))</f>
        <v/>
      </c>
      <c r="H327" s="4" t="str">
        <f t="shared" si="10"/>
        <v/>
      </c>
      <c r="I327" s="30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"&gt;=0"))</f>
        <v/>
      </c>
      <c r="H328" s="4" t="str">
        <f t="shared" si="10"/>
        <v/>
      </c>
      <c r="I328" s="30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"&gt;=0"))</f>
        <v/>
      </c>
      <c r="H329" s="4" t="str">
        <f t="shared" si="10"/>
        <v/>
      </c>
      <c r="I329" s="30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"&gt;=0"))</f>
        <v/>
      </c>
      <c r="H330" s="4" t="str">
        <f t="shared" si="10"/>
        <v/>
      </c>
      <c r="I330" s="30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"&gt;=0"))</f>
        <v/>
      </c>
      <c r="H331" s="4" t="str">
        <f t="shared" si="10"/>
        <v/>
      </c>
      <c r="I331" s="30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"&gt;=0"))</f>
        <v/>
      </c>
      <c r="H332" s="4" t="str">
        <f t="shared" si="10"/>
        <v/>
      </c>
      <c r="I332" s="30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"&gt;=0"))</f>
        <v/>
      </c>
      <c r="H333" s="4" t="str">
        <f t="shared" si="10"/>
        <v/>
      </c>
      <c r="I333" s="30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"&gt;=0"))</f>
        <v/>
      </c>
      <c r="H334" s="4" t="str">
        <f t="shared" si="10"/>
        <v/>
      </c>
      <c r="I334" s="30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"&gt;=0"))</f>
        <v/>
      </c>
      <c r="H335" s="4" t="str">
        <f t="shared" si="10"/>
        <v/>
      </c>
      <c r="I335" s="30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"&gt;=0"))</f>
        <v/>
      </c>
      <c r="H336" s="4" t="str">
        <f t="shared" si="10"/>
        <v/>
      </c>
      <c r="I336" s="30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"&gt;=0"))</f>
        <v/>
      </c>
      <c r="H337" s="4" t="str">
        <f t="shared" si="10"/>
        <v/>
      </c>
      <c r="I337" s="30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"&gt;=0"))</f>
        <v/>
      </c>
      <c r="H338" s="4" t="str">
        <f t="shared" si="10"/>
        <v/>
      </c>
      <c r="I338" s="30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"&gt;=0"))</f>
        <v/>
      </c>
      <c r="H339" s="4" t="str">
        <f t="shared" si="10"/>
        <v/>
      </c>
      <c r="I339" s="30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"&gt;=0"))</f>
        <v/>
      </c>
      <c r="H340" s="4" t="str">
        <f t="shared" si="10"/>
        <v/>
      </c>
      <c r="I340" s="30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"&gt;=0"))</f>
        <v/>
      </c>
      <c r="H341" s="4" t="str">
        <f t="shared" si="10"/>
        <v/>
      </c>
      <c r="I341" s="30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"&gt;=0"))</f>
        <v/>
      </c>
      <c r="H342" s="4" t="str">
        <f t="shared" si="10"/>
        <v/>
      </c>
      <c r="I342" s="30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"&gt;=0"))</f>
        <v/>
      </c>
      <c r="H343" s="4" t="str">
        <f t="shared" si="10"/>
        <v/>
      </c>
      <c r="I343" s="30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"&gt;=0"))</f>
        <v/>
      </c>
      <c r="H344" s="4" t="str">
        <f t="shared" si="10"/>
        <v/>
      </c>
      <c r="I344" s="30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"&gt;=0"))</f>
        <v/>
      </c>
      <c r="H345" s="4" t="str">
        <f t="shared" si="10"/>
        <v/>
      </c>
      <c r="I345" s="30" t="str">
        <f t="shared" si="11"/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"&gt;=0"))</f>
        <v/>
      </c>
      <c r="H346" s="4" t="str">
        <f t="shared" si="10"/>
        <v/>
      </c>
      <c r="I346" s="30" t="str">
        <f t="shared" si="11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"&gt;=0"))</f>
        <v/>
      </c>
      <c r="H347" s="4" t="str">
        <f t="shared" si="10"/>
        <v/>
      </c>
      <c r="I347" s="30" t="str">
        <f t="shared" si="11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"&gt;=0"))</f>
        <v/>
      </c>
      <c r="H348" s="4" t="str">
        <f t="shared" si="10"/>
        <v/>
      </c>
      <c r="I348" s="30" t="str">
        <f t="shared" si="11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"&gt;=0"))</f>
        <v/>
      </c>
      <c r="H349" s="4" t="str">
        <f t="shared" si="10"/>
        <v/>
      </c>
      <c r="I349" s="30" t="str">
        <f t="shared" si="11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"&gt;=0"))</f>
        <v/>
      </c>
      <c r="H350" s="4" t="str">
        <f t="shared" si="10"/>
        <v/>
      </c>
      <c r="I350" s="30" t="str">
        <f t="shared" si="11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"&gt;=0"))</f>
        <v/>
      </c>
      <c r="H351" s="4" t="str">
        <f t="shared" si="10"/>
        <v/>
      </c>
      <c r="I351" s="30" t="str">
        <f t="shared" si="11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"&gt;=0"))</f>
        <v/>
      </c>
      <c r="H352" s="4" t="str">
        <f t="shared" si="10"/>
        <v/>
      </c>
      <c r="I352" s="30" t="str">
        <f t="shared" si="11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"&gt;=0"))</f>
        <v/>
      </c>
      <c r="H353" s="4" t="str">
        <f t="shared" si="10"/>
        <v/>
      </c>
      <c r="I353" s="30" t="str">
        <f t="shared" si="11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"&gt;=0"))</f>
        <v/>
      </c>
      <c r="H354" s="4" t="str">
        <f t="shared" si="10"/>
        <v/>
      </c>
      <c r="I354" s="30" t="str">
        <f t="shared" si="11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"&gt;=0"))</f>
        <v/>
      </c>
      <c r="H355" s="4" t="str">
        <f t="shared" si="10"/>
        <v/>
      </c>
      <c r="I355" s="30" t="str">
        <f t="shared" si="11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"&gt;=0"))</f>
        <v/>
      </c>
      <c r="H356" s="4" t="str">
        <f t="shared" si="10"/>
        <v/>
      </c>
      <c r="I356" s="30" t="str">
        <f t="shared" si="11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"&gt;=0"))</f>
        <v/>
      </c>
      <c r="H357" s="4" t="str">
        <f t="shared" si="10"/>
        <v/>
      </c>
      <c r="I357" s="30" t="str">
        <f t="shared" si="11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"&gt;=0"))</f>
        <v/>
      </c>
      <c r="H358" s="4" t="str">
        <f t="shared" si="10"/>
        <v/>
      </c>
      <c r="I358" s="30" t="str">
        <f t="shared" si="11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"&gt;=0"))</f>
        <v/>
      </c>
      <c r="H359" s="4" t="str">
        <f t="shared" si="10"/>
        <v/>
      </c>
      <c r="I359" s="30" t="str">
        <f t="shared" si="11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"&gt;=0"))</f>
        <v/>
      </c>
      <c r="H360" s="4" t="str">
        <f t="shared" si="10"/>
        <v/>
      </c>
      <c r="I360" s="30" t="str">
        <f t="shared" si="11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"&gt;=0"))</f>
        <v/>
      </c>
      <c r="H361" s="4" t="str">
        <f t="shared" si="10"/>
        <v/>
      </c>
      <c r="I361" s="30" t="str">
        <f t="shared" si="11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"&gt;=0"))</f>
        <v/>
      </c>
      <c r="H362" s="4" t="str">
        <f t="shared" si="10"/>
        <v/>
      </c>
      <c r="I362" s="30" t="str">
        <f t="shared" si="11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"&gt;=0"))</f>
        <v/>
      </c>
      <c r="H363" s="4" t="str">
        <f t="shared" si="10"/>
        <v/>
      </c>
      <c r="I363" s="30" t="str">
        <f t="shared" si="11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"&gt;=0"))</f>
        <v/>
      </c>
      <c r="H364" s="4" t="str">
        <f t="shared" si="10"/>
        <v/>
      </c>
      <c r="I364" s="30" t="str">
        <f t="shared" si="11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"&gt;=0"))</f>
        <v/>
      </c>
      <c r="H365" s="4" t="str">
        <f t="shared" si="10"/>
        <v/>
      </c>
      <c r="I365" s="30" t="str">
        <f t="shared" si="11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"&gt;=0"))</f>
        <v/>
      </c>
      <c r="H366" s="4" t="str">
        <f t="shared" si="10"/>
        <v/>
      </c>
      <c r="I366" s="30" t="str">
        <f t="shared" si="11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"&gt;=0"))</f>
        <v/>
      </c>
      <c r="H367" s="4" t="str">
        <f t="shared" si="10"/>
        <v/>
      </c>
      <c r="I367" s="30" t="str">
        <f t="shared" si="11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"&gt;=0"))</f>
        <v/>
      </c>
      <c r="H368" s="4" t="str">
        <f t="shared" si="10"/>
        <v/>
      </c>
      <c r="I368" s="30" t="str">
        <f t="shared" si="11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"&gt;=0"))</f>
        <v/>
      </c>
      <c r="H369" s="4" t="str">
        <f t="shared" si="10"/>
        <v/>
      </c>
      <c r="I369" s="30" t="str">
        <f t="shared" si="11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"&gt;=0"))</f>
        <v/>
      </c>
      <c r="H370" s="4" t="str">
        <f t="shared" si="10"/>
        <v/>
      </c>
      <c r="I370" s="30" t="str">
        <f t="shared" si="11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"&gt;=0"))</f>
        <v/>
      </c>
      <c r="H371" s="4" t="str">
        <f t="shared" si="10"/>
        <v/>
      </c>
      <c r="I371" s="30" t="str">
        <f t="shared" si="11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"&gt;=0"))</f>
        <v/>
      </c>
      <c r="H372" s="4" t="str">
        <f t="shared" si="10"/>
        <v/>
      </c>
      <c r="I372" s="30" t="str">
        <f t="shared" si="11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"&gt;=0"))</f>
        <v/>
      </c>
      <c r="H373" s="4" t="str">
        <f t="shared" si="10"/>
        <v/>
      </c>
      <c r="I373" s="30" t="str">
        <f t="shared" si="11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"&gt;=0"))</f>
        <v/>
      </c>
      <c r="H374" s="4" t="str">
        <f t="shared" si="10"/>
        <v/>
      </c>
      <c r="I374" s="30" t="str">
        <f t="shared" si="11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"&gt;=0"))</f>
        <v/>
      </c>
      <c r="H375" s="4" t="str">
        <f t="shared" si="10"/>
        <v/>
      </c>
      <c r="I375" s="30" t="str">
        <f t="shared" si="11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"&gt;=0"))</f>
        <v/>
      </c>
      <c r="H376" s="4" t="str">
        <f t="shared" si="10"/>
        <v/>
      </c>
      <c r="I376" s="30" t="str">
        <f t="shared" si="11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"&gt;=0"))</f>
        <v/>
      </c>
      <c r="H377" s="4" t="str">
        <f t="shared" si="10"/>
        <v/>
      </c>
      <c r="I377" s="30" t="str">
        <f t="shared" si="11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"&gt;=0"))</f>
        <v/>
      </c>
      <c r="H378" s="4" t="str">
        <f t="shared" si="10"/>
        <v/>
      </c>
      <c r="I378" s="30" t="str">
        <f t="shared" si="11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"&gt;=0"))</f>
        <v/>
      </c>
      <c r="H379" s="4" t="str">
        <f t="shared" si="10"/>
        <v/>
      </c>
      <c r="I379" s="30" t="str">
        <f t="shared" si="11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"&gt;=0"))</f>
        <v/>
      </c>
      <c r="H380" s="4" t="str">
        <f t="shared" si="10"/>
        <v/>
      </c>
      <c r="I380" s="30" t="str">
        <f t="shared" si="11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"&gt;=0"))</f>
        <v/>
      </c>
      <c r="H381" s="4" t="str">
        <f t="shared" si="10"/>
        <v/>
      </c>
      <c r="I381" s="30" t="str">
        <f t="shared" si="11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"&gt;=0"))</f>
        <v/>
      </c>
      <c r="H382" s="4" t="str">
        <f t="shared" si="10"/>
        <v/>
      </c>
      <c r="I382" s="30" t="str">
        <f t="shared" si="11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"&gt;=0"))</f>
        <v/>
      </c>
      <c r="H383" s="4" t="str">
        <f t="shared" si="10"/>
        <v/>
      </c>
      <c r="I383" s="30" t="str">
        <f t="shared" si="11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"&gt;=0"))</f>
        <v/>
      </c>
      <c r="H384" s="4" t="str">
        <f t="shared" si="10"/>
        <v/>
      </c>
      <c r="I384" s="30" t="str">
        <f t="shared" si="11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"&gt;=0"))</f>
        <v/>
      </c>
      <c r="H385" s="4" t="str">
        <f t="shared" si="10"/>
        <v/>
      </c>
      <c r="I385" s="30" t="str">
        <f t="shared" si="11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"&gt;=0"))</f>
        <v/>
      </c>
      <c r="H386" s="4" t="str">
        <f t="shared" si="10"/>
        <v/>
      </c>
      <c r="I386" s="30" t="str">
        <f t="shared" si="11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"&gt;=0"))</f>
        <v/>
      </c>
      <c r="H387" s="4" t="str">
        <f t="shared" ref="H387:H450" si="12">IFERROR(F387-G387,"")</f>
        <v/>
      </c>
      <c r="I387" s="30" t="str">
        <f t="shared" ref="I387:I450" si="13">IFERROR(IF(F387=0, "N/A", G387/F387),"")</f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"&gt;=0"))</f>
        <v/>
      </c>
      <c r="H388" s="4" t="str">
        <f t="shared" si="12"/>
        <v/>
      </c>
      <c r="I388" s="30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"&gt;=0"))</f>
        <v/>
      </c>
      <c r="H389" s="4" t="str">
        <f t="shared" si="12"/>
        <v/>
      </c>
      <c r="I389" s="30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"&gt;=0"))</f>
        <v/>
      </c>
      <c r="H390" s="4" t="str">
        <f t="shared" si="12"/>
        <v/>
      </c>
      <c r="I390" s="30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"&gt;=0"))</f>
        <v/>
      </c>
      <c r="H391" s="4" t="str">
        <f t="shared" si="12"/>
        <v/>
      </c>
      <c r="I391" s="30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"&gt;=0"))</f>
        <v/>
      </c>
      <c r="H392" s="4" t="str">
        <f t="shared" si="12"/>
        <v/>
      </c>
      <c r="I392" s="30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"&gt;=0"))</f>
        <v/>
      </c>
      <c r="H393" s="4" t="str">
        <f t="shared" si="12"/>
        <v/>
      </c>
      <c r="I393" s="30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"&gt;=0"))</f>
        <v/>
      </c>
      <c r="H394" s="4" t="str">
        <f t="shared" si="12"/>
        <v/>
      </c>
      <c r="I394" s="30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"&gt;=0"))</f>
        <v/>
      </c>
      <c r="H395" s="4" t="str">
        <f t="shared" si="12"/>
        <v/>
      </c>
      <c r="I395" s="30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"&gt;=0"))</f>
        <v/>
      </c>
      <c r="H396" s="4" t="str">
        <f t="shared" si="12"/>
        <v/>
      </c>
      <c r="I396" s="30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"&gt;=0"))</f>
        <v/>
      </c>
      <c r="H397" s="4" t="str">
        <f t="shared" si="12"/>
        <v/>
      </c>
      <c r="I397" s="30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"&gt;=0"))</f>
        <v/>
      </c>
      <c r="H398" s="4" t="str">
        <f t="shared" si="12"/>
        <v/>
      </c>
      <c r="I398" s="30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"&gt;=0"))</f>
        <v/>
      </c>
      <c r="H399" s="4" t="str">
        <f t="shared" si="12"/>
        <v/>
      </c>
      <c r="I399" s="30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"&gt;=0"))</f>
        <v/>
      </c>
      <c r="H400" s="4" t="str">
        <f t="shared" si="12"/>
        <v/>
      </c>
      <c r="I400" s="30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"&gt;=0"))</f>
        <v/>
      </c>
      <c r="H401" s="4" t="str">
        <f t="shared" si="12"/>
        <v/>
      </c>
      <c r="I401" s="30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"&gt;=0"))</f>
        <v/>
      </c>
      <c r="H402" s="4" t="str">
        <f t="shared" si="12"/>
        <v/>
      </c>
      <c r="I402" s="30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"&gt;=0"))</f>
        <v/>
      </c>
      <c r="H403" s="4" t="str">
        <f t="shared" si="12"/>
        <v/>
      </c>
      <c r="I403" s="30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"&gt;=0"))</f>
        <v/>
      </c>
      <c r="H404" s="4" t="str">
        <f t="shared" si="12"/>
        <v/>
      </c>
      <c r="I404" s="30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"&gt;=0"))</f>
        <v/>
      </c>
      <c r="H405" s="4" t="str">
        <f t="shared" si="12"/>
        <v/>
      </c>
      <c r="I405" s="30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"&gt;=0"))</f>
        <v/>
      </c>
      <c r="H406" s="4" t="str">
        <f t="shared" si="12"/>
        <v/>
      </c>
      <c r="I406" s="30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"&gt;=0"))</f>
        <v/>
      </c>
      <c r="H407" s="4" t="str">
        <f t="shared" si="12"/>
        <v/>
      </c>
      <c r="I407" s="30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"&gt;=0"))</f>
        <v/>
      </c>
      <c r="H408" s="4" t="str">
        <f t="shared" si="12"/>
        <v/>
      </c>
      <c r="I408" s="30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"&gt;=0"))</f>
        <v/>
      </c>
      <c r="H409" s="4" t="str">
        <f t="shared" si="12"/>
        <v/>
      </c>
      <c r="I409" s="30" t="str">
        <f t="shared" si="13"/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"&gt;=0"))</f>
        <v/>
      </c>
      <c r="H410" s="4" t="str">
        <f t="shared" si="12"/>
        <v/>
      </c>
      <c r="I410" s="30" t="str">
        <f t="shared" si="13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"&gt;=0"))</f>
        <v/>
      </c>
      <c r="H411" s="4" t="str">
        <f t="shared" si="12"/>
        <v/>
      </c>
      <c r="I411" s="30" t="str">
        <f t="shared" si="13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"&gt;=0"))</f>
        <v/>
      </c>
      <c r="H412" s="4" t="str">
        <f t="shared" si="12"/>
        <v/>
      </c>
      <c r="I412" s="30" t="str">
        <f t="shared" si="13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"&gt;=0"))</f>
        <v/>
      </c>
      <c r="H413" s="4" t="str">
        <f t="shared" si="12"/>
        <v/>
      </c>
      <c r="I413" s="30" t="str">
        <f t="shared" si="13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"&gt;=0"))</f>
        <v/>
      </c>
      <c r="H414" s="4" t="str">
        <f t="shared" si="12"/>
        <v/>
      </c>
      <c r="I414" s="30" t="str">
        <f t="shared" si="13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"&gt;=0"))</f>
        <v/>
      </c>
      <c r="H415" s="4" t="str">
        <f t="shared" si="12"/>
        <v/>
      </c>
      <c r="I415" s="30" t="str">
        <f t="shared" si="13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"&gt;=0"))</f>
        <v/>
      </c>
      <c r="H416" s="4" t="str">
        <f t="shared" si="12"/>
        <v/>
      </c>
      <c r="I416" s="30" t="str">
        <f t="shared" si="13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"&gt;=0"))</f>
        <v/>
      </c>
      <c r="H417" s="4" t="str">
        <f t="shared" si="12"/>
        <v/>
      </c>
      <c r="I417" s="30" t="str">
        <f t="shared" si="13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"&gt;=0"))</f>
        <v/>
      </c>
      <c r="H418" s="4" t="str">
        <f t="shared" si="12"/>
        <v/>
      </c>
      <c r="I418" s="30" t="str">
        <f t="shared" si="13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"&gt;=0"))</f>
        <v/>
      </c>
      <c r="H419" s="4" t="str">
        <f t="shared" si="12"/>
        <v/>
      </c>
      <c r="I419" s="30" t="str">
        <f t="shared" si="13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"&gt;=0"))</f>
        <v/>
      </c>
      <c r="H420" s="4" t="str">
        <f t="shared" si="12"/>
        <v/>
      </c>
      <c r="I420" s="30" t="str">
        <f t="shared" si="13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"&gt;=0"))</f>
        <v/>
      </c>
      <c r="H421" s="4" t="str">
        <f t="shared" si="12"/>
        <v/>
      </c>
      <c r="I421" s="30" t="str">
        <f t="shared" si="13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"&gt;=0"))</f>
        <v/>
      </c>
      <c r="H422" s="4" t="str">
        <f t="shared" si="12"/>
        <v/>
      </c>
      <c r="I422" s="30" t="str">
        <f t="shared" si="13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"&gt;=0"))</f>
        <v/>
      </c>
      <c r="H423" s="4" t="str">
        <f t="shared" si="12"/>
        <v/>
      </c>
      <c r="I423" s="30" t="str">
        <f t="shared" si="13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"&gt;=0"))</f>
        <v/>
      </c>
      <c r="H424" s="4" t="str">
        <f t="shared" si="12"/>
        <v/>
      </c>
      <c r="I424" s="30" t="str">
        <f t="shared" si="13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"&gt;=0"))</f>
        <v/>
      </c>
      <c r="H425" s="4" t="str">
        <f t="shared" si="12"/>
        <v/>
      </c>
      <c r="I425" s="30" t="str">
        <f t="shared" si="13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"&gt;=0"))</f>
        <v/>
      </c>
      <c r="H426" s="4" t="str">
        <f t="shared" si="12"/>
        <v/>
      </c>
      <c r="I426" s="30" t="str">
        <f t="shared" si="13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"&gt;=0"))</f>
        <v/>
      </c>
      <c r="H427" s="4" t="str">
        <f t="shared" si="12"/>
        <v/>
      </c>
      <c r="I427" s="30" t="str">
        <f t="shared" si="13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"&gt;=0"))</f>
        <v/>
      </c>
      <c r="H428" s="4" t="str">
        <f t="shared" si="12"/>
        <v/>
      </c>
      <c r="I428" s="30" t="str">
        <f t="shared" si="13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"&gt;=0"))</f>
        <v/>
      </c>
      <c r="H429" s="4" t="str">
        <f t="shared" si="12"/>
        <v/>
      </c>
      <c r="I429" s="30" t="str">
        <f t="shared" si="13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"&gt;=0"))</f>
        <v/>
      </c>
      <c r="H430" s="4" t="str">
        <f t="shared" si="12"/>
        <v/>
      </c>
      <c r="I430" s="30" t="str">
        <f t="shared" si="13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"&gt;=0"))</f>
        <v/>
      </c>
      <c r="H431" s="4" t="str">
        <f t="shared" si="12"/>
        <v/>
      </c>
      <c r="I431" s="30" t="str">
        <f t="shared" si="13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"&gt;=0"))</f>
        <v/>
      </c>
      <c r="H432" s="4" t="str">
        <f t="shared" si="12"/>
        <v/>
      </c>
      <c r="I432" s="30" t="str">
        <f t="shared" si="13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"&gt;=0"))</f>
        <v/>
      </c>
      <c r="H433" s="4" t="str">
        <f t="shared" si="12"/>
        <v/>
      </c>
      <c r="I433" s="30" t="str">
        <f t="shared" si="13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"&gt;=0"))</f>
        <v/>
      </c>
      <c r="H434" s="4" t="str">
        <f t="shared" si="12"/>
        <v/>
      </c>
      <c r="I434" s="30" t="str">
        <f t="shared" si="13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"&gt;=0"))</f>
        <v/>
      </c>
      <c r="H435" s="4" t="str">
        <f t="shared" si="12"/>
        <v/>
      </c>
      <c r="I435" s="30" t="str">
        <f t="shared" si="13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"&gt;=0"))</f>
        <v/>
      </c>
      <c r="H436" s="4" t="str">
        <f t="shared" si="12"/>
        <v/>
      </c>
      <c r="I436" s="30" t="str">
        <f t="shared" si="13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"&gt;=0"))</f>
        <v/>
      </c>
      <c r="H437" s="4" t="str">
        <f t="shared" si="12"/>
        <v/>
      </c>
      <c r="I437" s="30" t="str">
        <f t="shared" si="13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"&gt;=0"))</f>
        <v/>
      </c>
      <c r="H438" s="4" t="str">
        <f t="shared" si="12"/>
        <v/>
      </c>
      <c r="I438" s="30" t="str">
        <f t="shared" si="13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"&gt;=0"))</f>
        <v/>
      </c>
      <c r="H439" s="4" t="str">
        <f t="shared" si="12"/>
        <v/>
      </c>
      <c r="I439" s="30" t="str">
        <f t="shared" si="13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"&gt;=0"))</f>
        <v/>
      </c>
      <c r="H440" s="4" t="str">
        <f t="shared" si="12"/>
        <v/>
      </c>
      <c r="I440" s="30" t="str">
        <f t="shared" si="13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"&gt;=0"))</f>
        <v/>
      </c>
      <c r="H441" s="4" t="str">
        <f t="shared" si="12"/>
        <v/>
      </c>
      <c r="I441" s="30" t="str">
        <f t="shared" si="13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"&gt;=0"))</f>
        <v/>
      </c>
      <c r="H442" s="4" t="str">
        <f t="shared" si="12"/>
        <v/>
      </c>
      <c r="I442" s="30" t="str">
        <f t="shared" si="13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"&gt;=0"))</f>
        <v/>
      </c>
      <c r="H443" s="4" t="str">
        <f t="shared" si="12"/>
        <v/>
      </c>
      <c r="I443" s="30" t="str">
        <f t="shared" si="13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"&gt;=0"))</f>
        <v/>
      </c>
      <c r="H444" s="4" t="str">
        <f t="shared" si="12"/>
        <v/>
      </c>
      <c r="I444" s="30" t="str">
        <f t="shared" si="13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"&gt;=0"))</f>
        <v/>
      </c>
      <c r="H445" s="4" t="str">
        <f t="shared" si="12"/>
        <v/>
      </c>
      <c r="I445" s="30" t="str">
        <f t="shared" si="13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"&gt;=0"))</f>
        <v/>
      </c>
      <c r="H446" s="4" t="str">
        <f t="shared" si="12"/>
        <v/>
      </c>
      <c r="I446" s="30" t="str">
        <f t="shared" si="13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"&gt;=0"))</f>
        <v/>
      </c>
      <c r="H447" s="4" t="str">
        <f t="shared" si="12"/>
        <v/>
      </c>
      <c r="I447" s="30" t="str">
        <f t="shared" si="13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"&gt;=0"))</f>
        <v/>
      </c>
      <c r="H448" s="4" t="str">
        <f t="shared" si="12"/>
        <v/>
      </c>
      <c r="I448" s="30" t="str">
        <f t="shared" si="13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"&gt;=0"))</f>
        <v/>
      </c>
      <c r="H449" s="4" t="str">
        <f t="shared" si="12"/>
        <v/>
      </c>
      <c r="I449" s="30" t="str">
        <f t="shared" si="13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"&gt;=0"))</f>
        <v/>
      </c>
      <c r="H450" s="4" t="str">
        <f t="shared" si="12"/>
        <v/>
      </c>
      <c r="I450" s="30" t="str">
        <f t="shared" si="13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"&gt;=0"))</f>
        <v/>
      </c>
      <c r="H451" s="4" t="str">
        <f t="shared" ref="H451:H514" si="14">IFERROR(F451-G451,"")</f>
        <v/>
      </c>
      <c r="I451" s="30" t="str">
        <f t="shared" ref="I451:I514" si="15">IFERROR(IF(F451=0, "N/A", G451/F451),"")</f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"&gt;=0"))</f>
        <v/>
      </c>
      <c r="H452" s="4" t="str">
        <f t="shared" si="14"/>
        <v/>
      </c>
      <c r="I452" s="30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"&gt;=0"))</f>
        <v/>
      </c>
      <c r="H453" s="4" t="str">
        <f t="shared" si="14"/>
        <v/>
      </c>
      <c r="I453" s="30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"&gt;=0"))</f>
        <v/>
      </c>
      <c r="H454" s="4" t="str">
        <f t="shared" si="14"/>
        <v/>
      </c>
      <c r="I454" s="30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"&gt;=0"))</f>
        <v/>
      </c>
      <c r="H455" s="4" t="str">
        <f t="shared" si="14"/>
        <v/>
      </c>
      <c r="I455" s="30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"&gt;=0"))</f>
        <v/>
      </c>
      <c r="H456" s="4" t="str">
        <f t="shared" si="14"/>
        <v/>
      </c>
      <c r="I456" s="30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"&gt;=0"))</f>
        <v/>
      </c>
      <c r="H457" s="4" t="str">
        <f t="shared" si="14"/>
        <v/>
      </c>
      <c r="I457" s="30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"&gt;=0"))</f>
        <v/>
      </c>
      <c r="H458" s="4" t="str">
        <f t="shared" si="14"/>
        <v/>
      </c>
      <c r="I458" s="30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"&gt;=0"))</f>
        <v/>
      </c>
      <c r="H459" s="4" t="str">
        <f t="shared" si="14"/>
        <v/>
      </c>
      <c r="I459" s="30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"&gt;=0"))</f>
        <v/>
      </c>
      <c r="H460" s="4" t="str">
        <f t="shared" si="14"/>
        <v/>
      </c>
      <c r="I460" s="30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"&gt;=0"))</f>
        <v/>
      </c>
      <c r="H461" s="4" t="str">
        <f t="shared" si="14"/>
        <v/>
      </c>
      <c r="I461" s="30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"&gt;=0"))</f>
        <v/>
      </c>
      <c r="H462" s="4" t="str">
        <f t="shared" si="14"/>
        <v/>
      </c>
      <c r="I462" s="30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"&gt;=0"))</f>
        <v/>
      </c>
      <c r="H463" s="4" t="str">
        <f t="shared" si="14"/>
        <v/>
      </c>
      <c r="I463" s="30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"&gt;=0"))</f>
        <v/>
      </c>
      <c r="H464" s="4" t="str">
        <f t="shared" si="14"/>
        <v/>
      </c>
      <c r="I464" s="30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"&gt;=0"))</f>
        <v/>
      </c>
      <c r="H465" s="4" t="str">
        <f t="shared" si="14"/>
        <v/>
      </c>
      <c r="I465" s="30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"&gt;=0"))</f>
        <v/>
      </c>
      <c r="H466" s="4" t="str">
        <f t="shared" si="14"/>
        <v/>
      </c>
      <c r="I466" s="30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"&gt;=0"))</f>
        <v/>
      </c>
      <c r="H467" s="4" t="str">
        <f t="shared" si="14"/>
        <v/>
      </c>
      <c r="I467" s="30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"&gt;=0"))</f>
        <v/>
      </c>
      <c r="H468" s="4" t="str">
        <f t="shared" si="14"/>
        <v/>
      </c>
      <c r="I468" s="30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"&gt;=0"))</f>
        <v/>
      </c>
      <c r="H469" s="4" t="str">
        <f t="shared" si="14"/>
        <v/>
      </c>
      <c r="I469" s="30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"&gt;=0"))</f>
        <v/>
      </c>
      <c r="H470" s="4" t="str">
        <f t="shared" si="14"/>
        <v/>
      </c>
      <c r="I470" s="30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"&gt;=0"))</f>
        <v/>
      </c>
      <c r="H471" s="4" t="str">
        <f t="shared" si="14"/>
        <v/>
      </c>
      <c r="I471" s="30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"&gt;=0"))</f>
        <v/>
      </c>
      <c r="H472" s="4" t="str">
        <f t="shared" si="14"/>
        <v/>
      </c>
      <c r="I472" s="30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"&gt;=0"))</f>
        <v/>
      </c>
      <c r="H473" s="4" t="str">
        <f t="shared" si="14"/>
        <v/>
      </c>
      <c r="I473" s="30" t="str">
        <f t="shared" si="15"/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"&gt;=0"))</f>
        <v/>
      </c>
      <c r="H474" s="4" t="str">
        <f t="shared" si="14"/>
        <v/>
      </c>
      <c r="I474" s="30" t="str">
        <f t="shared" si="15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"&gt;=0"))</f>
        <v/>
      </c>
      <c r="H475" s="4" t="str">
        <f t="shared" si="14"/>
        <v/>
      </c>
      <c r="I475" s="30" t="str">
        <f t="shared" si="15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"&gt;=0"))</f>
        <v/>
      </c>
      <c r="H476" s="4" t="str">
        <f t="shared" si="14"/>
        <v/>
      </c>
      <c r="I476" s="30" t="str">
        <f t="shared" si="15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"&gt;=0"))</f>
        <v/>
      </c>
      <c r="H477" s="4" t="str">
        <f t="shared" si="14"/>
        <v/>
      </c>
      <c r="I477" s="30" t="str">
        <f t="shared" si="15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"&gt;=0"))</f>
        <v/>
      </c>
      <c r="H478" s="4" t="str">
        <f t="shared" si="14"/>
        <v/>
      </c>
      <c r="I478" s="30" t="str">
        <f t="shared" si="15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"&gt;=0"))</f>
        <v/>
      </c>
      <c r="H479" s="4" t="str">
        <f t="shared" si="14"/>
        <v/>
      </c>
      <c r="I479" s="30" t="str">
        <f t="shared" si="15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"&gt;=0"))</f>
        <v/>
      </c>
      <c r="H480" s="4" t="str">
        <f t="shared" si="14"/>
        <v/>
      </c>
      <c r="I480" s="30" t="str">
        <f t="shared" si="15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"&gt;=0"))</f>
        <v/>
      </c>
      <c r="H481" s="4" t="str">
        <f t="shared" si="14"/>
        <v/>
      </c>
      <c r="I481" s="30" t="str">
        <f t="shared" si="15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"&gt;=0"))</f>
        <v/>
      </c>
      <c r="H482" s="4" t="str">
        <f t="shared" si="14"/>
        <v/>
      </c>
      <c r="I482" s="30" t="str">
        <f t="shared" si="15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"&gt;=0"))</f>
        <v/>
      </c>
      <c r="H483" s="4" t="str">
        <f t="shared" si="14"/>
        <v/>
      </c>
      <c r="I483" s="30" t="str">
        <f t="shared" si="15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"&gt;=0"))</f>
        <v/>
      </c>
      <c r="H484" s="4" t="str">
        <f t="shared" si="14"/>
        <v/>
      </c>
      <c r="I484" s="30" t="str">
        <f t="shared" si="15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"&gt;=0"))</f>
        <v/>
      </c>
      <c r="H485" s="4" t="str">
        <f t="shared" si="14"/>
        <v/>
      </c>
      <c r="I485" s="30" t="str">
        <f t="shared" si="15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"&gt;=0"))</f>
        <v/>
      </c>
      <c r="H486" s="4" t="str">
        <f t="shared" si="14"/>
        <v/>
      </c>
      <c r="I486" s="30" t="str">
        <f t="shared" si="15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"&gt;=0"))</f>
        <v/>
      </c>
      <c r="H487" s="4" t="str">
        <f t="shared" si="14"/>
        <v/>
      </c>
      <c r="I487" s="30" t="str">
        <f t="shared" si="15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"&gt;=0"))</f>
        <v/>
      </c>
      <c r="H488" s="4" t="str">
        <f t="shared" si="14"/>
        <v/>
      </c>
      <c r="I488" s="30" t="str">
        <f t="shared" si="15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"&gt;=0"))</f>
        <v/>
      </c>
      <c r="H489" s="4" t="str">
        <f t="shared" si="14"/>
        <v/>
      </c>
      <c r="I489" s="30" t="str">
        <f t="shared" si="15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"&gt;=0"))</f>
        <v/>
      </c>
      <c r="H490" s="4" t="str">
        <f t="shared" si="14"/>
        <v/>
      </c>
      <c r="I490" s="30" t="str">
        <f t="shared" si="15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"&gt;=0"))</f>
        <v/>
      </c>
      <c r="H491" s="4" t="str">
        <f t="shared" si="14"/>
        <v/>
      </c>
      <c r="I491" s="30" t="str">
        <f t="shared" si="15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"&gt;=0"))</f>
        <v/>
      </c>
      <c r="H492" s="4" t="str">
        <f t="shared" si="14"/>
        <v/>
      </c>
      <c r="I492" s="30" t="str">
        <f t="shared" si="15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"&gt;=0"))</f>
        <v/>
      </c>
      <c r="H493" s="4" t="str">
        <f t="shared" si="14"/>
        <v/>
      </c>
      <c r="I493" s="30" t="str">
        <f t="shared" si="15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"&gt;=0"))</f>
        <v/>
      </c>
      <c r="H494" s="4" t="str">
        <f t="shared" si="14"/>
        <v/>
      </c>
      <c r="I494" s="30" t="str">
        <f t="shared" si="15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"&gt;=0"))</f>
        <v/>
      </c>
      <c r="H495" s="4" t="str">
        <f t="shared" si="14"/>
        <v/>
      </c>
      <c r="I495" s="30" t="str">
        <f t="shared" si="15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"&gt;=0"))</f>
        <v/>
      </c>
      <c r="H496" s="4" t="str">
        <f t="shared" si="14"/>
        <v/>
      </c>
      <c r="I496" s="30" t="str">
        <f t="shared" si="15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"&gt;=0"))</f>
        <v/>
      </c>
      <c r="H497" s="4" t="str">
        <f t="shared" si="14"/>
        <v/>
      </c>
      <c r="I497" s="30" t="str">
        <f t="shared" si="15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"&gt;=0"))</f>
        <v/>
      </c>
      <c r="H498" s="4" t="str">
        <f t="shared" si="14"/>
        <v/>
      </c>
      <c r="I498" s="30" t="str">
        <f t="shared" si="15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"&gt;=0"))</f>
        <v/>
      </c>
      <c r="H499" s="4" t="str">
        <f t="shared" si="14"/>
        <v/>
      </c>
      <c r="I499" s="30" t="str">
        <f t="shared" si="15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"&gt;=0"))</f>
        <v/>
      </c>
      <c r="H500" s="4" t="str">
        <f t="shared" si="14"/>
        <v/>
      </c>
      <c r="I500" s="30" t="str">
        <f t="shared" si="15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"&gt;=0"))</f>
        <v/>
      </c>
      <c r="H501" s="4" t="str">
        <f t="shared" si="14"/>
        <v/>
      </c>
      <c r="I501" s="30" t="str">
        <f t="shared" si="15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"&gt;=0"))</f>
        <v/>
      </c>
      <c r="H502" s="4" t="str">
        <f t="shared" si="14"/>
        <v/>
      </c>
      <c r="I502" s="30" t="str">
        <f t="shared" si="15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"&gt;=0"))</f>
        <v/>
      </c>
      <c r="H503" s="4" t="str">
        <f t="shared" si="14"/>
        <v/>
      </c>
      <c r="I503" s="30" t="str">
        <f t="shared" si="15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"&gt;=0"))</f>
        <v/>
      </c>
      <c r="H504" s="4" t="str">
        <f t="shared" si="14"/>
        <v/>
      </c>
      <c r="I504" s="30" t="str">
        <f t="shared" si="15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"&gt;=0"))</f>
        <v/>
      </c>
      <c r="H505" s="4" t="str">
        <f t="shared" si="14"/>
        <v/>
      </c>
      <c r="I505" s="30" t="str">
        <f t="shared" si="15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"&gt;=0"))</f>
        <v/>
      </c>
      <c r="H506" s="4" t="str">
        <f t="shared" si="14"/>
        <v/>
      </c>
      <c r="I506" s="30" t="str">
        <f t="shared" si="15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"&gt;=0"))</f>
        <v/>
      </c>
      <c r="H507" s="4" t="str">
        <f t="shared" si="14"/>
        <v/>
      </c>
      <c r="I507" s="30" t="str">
        <f t="shared" si="15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"&gt;=0"))</f>
        <v/>
      </c>
      <c r="H508" s="4" t="str">
        <f t="shared" si="14"/>
        <v/>
      </c>
      <c r="I508" s="30" t="str">
        <f t="shared" si="15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"&gt;=0"))</f>
        <v/>
      </c>
      <c r="H509" s="4" t="str">
        <f t="shared" si="14"/>
        <v/>
      </c>
      <c r="I509" s="30" t="str">
        <f t="shared" si="15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"&gt;=0"))</f>
        <v/>
      </c>
      <c r="H510" s="4" t="str">
        <f t="shared" si="14"/>
        <v/>
      </c>
      <c r="I510" s="30" t="str">
        <f t="shared" si="15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"&gt;=0"))</f>
        <v/>
      </c>
      <c r="H511" s="4" t="str">
        <f t="shared" si="14"/>
        <v/>
      </c>
      <c r="I511" s="30" t="str">
        <f t="shared" si="15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"&gt;=0"))</f>
        <v/>
      </c>
      <c r="H512" s="4" t="str">
        <f t="shared" si="14"/>
        <v/>
      </c>
      <c r="I512" s="30" t="str">
        <f t="shared" si="15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"&gt;=0"))</f>
        <v/>
      </c>
      <c r="H513" s="4" t="str">
        <f t="shared" si="14"/>
        <v/>
      </c>
      <c r="I513" s="30" t="str">
        <f t="shared" si="15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"&gt;=0"))</f>
        <v/>
      </c>
      <c r="H514" s="4" t="str">
        <f t="shared" si="14"/>
        <v/>
      </c>
      <c r="I514" s="30" t="str">
        <f t="shared" si="15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"&gt;=0"))</f>
        <v/>
      </c>
      <c r="H515" s="4" t="str">
        <f t="shared" ref="H515:H578" si="16">IFERROR(F515-G515,"")</f>
        <v/>
      </c>
      <c r="I515" s="30" t="str">
        <f t="shared" ref="I515:I578" si="17">IFERROR(IF(F515=0, "N/A", G515/F515),"")</f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"&gt;=0"))</f>
        <v/>
      </c>
      <c r="H516" s="4" t="str">
        <f t="shared" si="16"/>
        <v/>
      </c>
      <c r="I516" s="30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"&gt;=0"))</f>
        <v/>
      </c>
      <c r="H517" s="4" t="str">
        <f t="shared" si="16"/>
        <v/>
      </c>
      <c r="I517" s="30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"&gt;=0"))</f>
        <v/>
      </c>
      <c r="H518" s="4" t="str">
        <f t="shared" si="16"/>
        <v/>
      </c>
      <c r="I518" s="30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"&gt;=0"))</f>
        <v/>
      </c>
      <c r="H519" s="4" t="str">
        <f t="shared" si="16"/>
        <v/>
      </c>
      <c r="I519" s="30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"&gt;=0"))</f>
        <v/>
      </c>
      <c r="H520" s="4" t="str">
        <f t="shared" si="16"/>
        <v/>
      </c>
      <c r="I520" s="30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"&gt;=0"))</f>
        <v/>
      </c>
      <c r="H521" s="4" t="str">
        <f t="shared" si="16"/>
        <v/>
      </c>
      <c r="I521" s="30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"&gt;=0"))</f>
        <v/>
      </c>
      <c r="H522" s="4" t="str">
        <f t="shared" si="16"/>
        <v/>
      </c>
      <c r="I522" s="30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"&gt;=0"))</f>
        <v/>
      </c>
      <c r="H523" s="4" t="str">
        <f t="shared" si="16"/>
        <v/>
      </c>
      <c r="I523" s="30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"&gt;=0"))</f>
        <v/>
      </c>
      <c r="H524" s="4" t="str">
        <f t="shared" si="16"/>
        <v/>
      </c>
      <c r="I524" s="30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"&gt;=0"))</f>
        <v/>
      </c>
      <c r="H525" s="4" t="str">
        <f t="shared" si="16"/>
        <v/>
      </c>
      <c r="I525" s="30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"&gt;=0"))</f>
        <v/>
      </c>
      <c r="H526" s="4" t="str">
        <f t="shared" si="16"/>
        <v/>
      </c>
      <c r="I526" s="30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"&gt;=0"))</f>
        <v/>
      </c>
      <c r="H527" s="4" t="str">
        <f t="shared" si="16"/>
        <v/>
      </c>
      <c r="I527" s="30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"&gt;=0"))</f>
        <v/>
      </c>
      <c r="H528" s="4" t="str">
        <f t="shared" si="16"/>
        <v/>
      </c>
      <c r="I528" s="30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"&gt;=0"))</f>
        <v/>
      </c>
      <c r="H529" s="4" t="str">
        <f t="shared" si="16"/>
        <v/>
      </c>
      <c r="I529" s="30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"&gt;=0"))</f>
        <v/>
      </c>
      <c r="H530" s="4" t="str">
        <f t="shared" si="16"/>
        <v/>
      </c>
      <c r="I530" s="30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"&gt;=0"))</f>
        <v/>
      </c>
      <c r="H531" s="4" t="str">
        <f t="shared" si="16"/>
        <v/>
      </c>
      <c r="I531" s="30" t="str">
        <f t="shared" si="17"/>
        <v/>
      </c>
    </row>
    <row r="532" spans="6:9" x14ac:dyDescent="0.2">
      <c r="F532" s="4" t="str">
        <f>IF(LEN(TRIM(A532))=0,"",COUNTIFS(Students!H:H, A532))</f>
        <v/>
      </c>
      <c r="G532" s="4" t="str">
        <f>IF(LEN(TRIM(A532))=0,"",COUNTIFS(Students!H:H, A532, Students!D:D, "&gt;=0"))</f>
        <v/>
      </c>
      <c r="H532" s="4" t="str">
        <f t="shared" si="16"/>
        <v/>
      </c>
      <c r="I532" s="30" t="str">
        <f t="shared" si="17"/>
        <v/>
      </c>
    </row>
    <row r="533" spans="6:9" x14ac:dyDescent="0.2">
      <c r="F533" s="4" t="str">
        <f>IF(LEN(TRIM(A533))=0,"",COUNTIFS(Students!H:H, A533))</f>
        <v/>
      </c>
      <c r="G533" s="4" t="str">
        <f>IF(LEN(TRIM(A533))=0,"",COUNTIFS(Students!H:H, A533, Students!D:D, "&gt;=0"))</f>
        <v/>
      </c>
      <c r="H533" s="4" t="str">
        <f t="shared" si="16"/>
        <v/>
      </c>
      <c r="I533" s="30" t="str">
        <f t="shared" si="17"/>
        <v/>
      </c>
    </row>
    <row r="534" spans="6:9" x14ac:dyDescent="0.2">
      <c r="F534" s="4" t="str">
        <f>IF(LEN(TRIM(A534))=0,"",COUNTIFS(Students!H:H, A534))</f>
        <v/>
      </c>
      <c r="G534" s="4" t="str">
        <f>IF(LEN(TRIM(A534))=0,"",COUNTIFS(Students!H:H, A534, Students!D:D, "&gt;=0"))</f>
        <v/>
      </c>
      <c r="H534" s="4" t="str">
        <f t="shared" si="16"/>
        <v/>
      </c>
      <c r="I534" s="30" t="str">
        <f t="shared" si="17"/>
        <v/>
      </c>
    </row>
    <row r="535" spans="6:9" x14ac:dyDescent="0.2">
      <c r="F535" s="4" t="str">
        <f>IF(LEN(TRIM(A535))=0,"",COUNTIFS(Students!H:H, A535))</f>
        <v/>
      </c>
      <c r="G535" s="4" t="str">
        <f>IF(LEN(TRIM(A535))=0,"",COUNTIFS(Students!H:H, A535, Students!D:D, "&gt;=0"))</f>
        <v/>
      </c>
      <c r="H535" s="4" t="str">
        <f t="shared" si="16"/>
        <v/>
      </c>
      <c r="I535" s="30" t="str">
        <f t="shared" si="17"/>
        <v/>
      </c>
    </row>
    <row r="536" spans="6:9" x14ac:dyDescent="0.2">
      <c r="F536" s="4" t="str">
        <f>IF(LEN(TRIM(A536))=0,"",COUNTIFS(Students!H:H, A536))</f>
        <v/>
      </c>
      <c r="G536" s="4" t="str">
        <f>IF(LEN(TRIM(A536))=0,"",COUNTIFS(Students!H:H, A536, Students!D:D, "&gt;=0"))</f>
        <v/>
      </c>
      <c r="H536" s="4" t="str">
        <f t="shared" si="16"/>
        <v/>
      </c>
      <c r="I536" s="30" t="str">
        <f t="shared" si="17"/>
        <v/>
      </c>
    </row>
    <row r="537" spans="6:9" x14ac:dyDescent="0.2">
      <c r="F537" s="4" t="str">
        <f>IF(LEN(TRIM(A537))=0,"",COUNTIFS(Students!H:H, A537))</f>
        <v/>
      </c>
      <c r="G537" s="4" t="str">
        <f>IF(LEN(TRIM(A537))=0,"",COUNTIFS(Students!H:H, A537, Students!D:D, "&gt;=0"))</f>
        <v/>
      </c>
      <c r="H537" s="4" t="str">
        <f t="shared" si="16"/>
        <v/>
      </c>
      <c r="I537" s="30" t="str">
        <f t="shared" si="17"/>
        <v/>
      </c>
    </row>
    <row r="538" spans="6:9" x14ac:dyDescent="0.2">
      <c r="F538" s="4" t="str">
        <f>IF(LEN(TRIM(A538))=0,"",COUNTIFS(Students!H:H, A538))</f>
        <v/>
      </c>
      <c r="G538" s="4" t="str">
        <f>IF(LEN(TRIM(A538))=0,"",COUNTIFS(Students!H:H, A538, Students!D:D, "&gt;=0"))</f>
        <v/>
      </c>
      <c r="H538" s="4" t="str">
        <f t="shared" si="16"/>
        <v/>
      </c>
      <c r="I538" s="30" t="str">
        <f t="shared" si="17"/>
        <v/>
      </c>
    </row>
    <row r="539" spans="6:9" x14ac:dyDescent="0.2">
      <c r="F539" s="4" t="str">
        <f>IF(LEN(TRIM(A539))=0,"",COUNTIFS(Students!H:H, A539))</f>
        <v/>
      </c>
      <c r="G539" s="4" t="str">
        <f>IF(LEN(TRIM(A539))=0,"",COUNTIFS(Students!H:H, A539, Students!D:D, "&gt;=0"))</f>
        <v/>
      </c>
      <c r="H539" s="4" t="str">
        <f t="shared" si="16"/>
        <v/>
      </c>
      <c r="I539" s="30" t="str">
        <f t="shared" si="17"/>
        <v/>
      </c>
    </row>
    <row r="540" spans="6:9" x14ac:dyDescent="0.2">
      <c r="F540" s="4" t="str">
        <f>IF(LEN(TRIM(A540))=0,"",COUNTIFS(Students!H:H, A540))</f>
        <v/>
      </c>
      <c r="G540" s="4" t="str">
        <f>IF(LEN(TRIM(A540))=0,"",COUNTIFS(Students!H:H, A540, Students!D:D, "&gt;=0"))</f>
        <v/>
      </c>
      <c r="H540" s="4" t="str">
        <f t="shared" si="16"/>
        <v/>
      </c>
      <c r="I540" s="30" t="str">
        <f t="shared" si="17"/>
        <v/>
      </c>
    </row>
    <row r="541" spans="6:9" x14ac:dyDescent="0.2">
      <c r="F541" s="4" t="str">
        <f>IF(LEN(TRIM(A541))=0,"",COUNTIFS(Students!H:H, A541))</f>
        <v/>
      </c>
      <c r="G541" s="4" t="str">
        <f>IF(LEN(TRIM(A541))=0,"",COUNTIFS(Students!H:H, A541, Students!D:D, "&gt;=0"))</f>
        <v/>
      </c>
      <c r="H541" s="4" t="str">
        <f t="shared" si="16"/>
        <v/>
      </c>
      <c r="I541" s="30" t="str">
        <f t="shared" si="17"/>
        <v/>
      </c>
    </row>
    <row r="542" spans="6:9" x14ac:dyDescent="0.2">
      <c r="F542" s="4" t="str">
        <f>IF(LEN(TRIM(A542))=0,"",COUNTIFS(Students!H:H, A542))</f>
        <v/>
      </c>
      <c r="G542" s="4" t="str">
        <f>IF(LEN(TRIM(A542))=0,"",COUNTIFS(Students!H:H, A542, Students!D:D, "&gt;=0"))</f>
        <v/>
      </c>
      <c r="H542" s="4" t="str">
        <f t="shared" si="16"/>
        <v/>
      </c>
      <c r="I542" s="30" t="str">
        <f t="shared" si="17"/>
        <v/>
      </c>
    </row>
    <row r="543" spans="6:9" x14ac:dyDescent="0.2">
      <c r="F543" s="4" t="str">
        <f>IF(LEN(TRIM(A543))=0,"",COUNTIFS(Students!H:H, A543))</f>
        <v/>
      </c>
      <c r="G543" s="4" t="str">
        <f>IF(LEN(TRIM(A543))=0,"",COUNTIFS(Students!H:H, A543, Students!D:D, "&gt;=0"))</f>
        <v/>
      </c>
      <c r="H543" s="4" t="str">
        <f t="shared" si="16"/>
        <v/>
      </c>
      <c r="I543" s="30" t="str">
        <f t="shared" si="17"/>
        <v/>
      </c>
    </row>
    <row r="544" spans="6:9" x14ac:dyDescent="0.2">
      <c r="F544" s="4" t="str">
        <f>IF(LEN(TRIM(A544))=0,"",COUNTIFS(Students!H:H, A544))</f>
        <v/>
      </c>
      <c r="G544" s="4" t="str">
        <f>IF(LEN(TRIM(A544))=0,"",COUNTIFS(Students!H:H, A544, Students!D:D, "&gt;=0"))</f>
        <v/>
      </c>
      <c r="H544" s="4" t="str">
        <f t="shared" si="16"/>
        <v/>
      </c>
      <c r="I544" s="30" t="str">
        <f t="shared" si="17"/>
        <v/>
      </c>
    </row>
    <row r="545" spans="6:9" x14ac:dyDescent="0.2">
      <c r="F545" s="4" t="str">
        <f>IF(LEN(TRIM(A545))=0,"",COUNTIFS(Students!H:H, A545))</f>
        <v/>
      </c>
      <c r="G545" s="4" t="str">
        <f>IF(LEN(TRIM(A545))=0,"",COUNTIFS(Students!H:H, A545, Students!D:D, "&gt;=0"))</f>
        <v/>
      </c>
      <c r="H545" s="4" t="str">
        <f t="shared" si="16"/>
        <v/>
      </c>
      <c r="I545" s="30" t="str">
        <f t="shared" si="17"/>
        <v/>
      </c>
    </row>
    <row r="546" spans="6:9" x14ac:dyDescent="0.2">
      <c r="F546" s="4" t="str">
        <f>IF(LEN(TRIM(A546))=0,"",COUNTIFS(Students!H:H, A546))</f>
        <v/>
      </c>
      <c r="G546" s="4" t="str">
        <f>IF(LEN(TRIM(A546))=0,"",COUNTIFS(Students!H:H, A546, Students!D:D, "&gt;=0"))</f>
        <v/>
      </c>
      <c r="H546" s="4" t="str">
        <f t="shared" si="16"/>
        <v/>
      </c>
      <c r="I546" s="30" t="str">
        <f t="shared" si="17"/>
        <v/>
      </c>
    </row>
    <row r="547" spans="6:9" x14ac:dyDescent="0.2">
      <c r="F547" s="4" t="str">
        <f>IF(LEN(TRIM(A547))=0,"",COUNTIFS(Students!H:H, A547))</f>
        <v/>
      </c>
      <c r="G547" s="4" t="str">
        <f>IF(LEN(TRIM(A547))=0,"",COUNTIFS(Students!H:H, A547, Students!D:D, "&gt;=0"))</f>
        <v/>
      </c>
      <c r="H547" s="4" t="str">
        <f t="shared" si="16"/>
        <v/>
      </c>
      <c r="I547" s="30" t="str">
        <f t="shared" si="17"/>
        <v/>
      </c>
    </row>
    <row r="548" spans="6:9" x14ac:dyDescent="0.2">
      <c r="F548" s="4" t="str">
        <f>IF(LEN(TRIM(A548))=0,"",COUNTIFS(Students!H:H, A548))</f>
        <v/>
      </c>
      <c r="G548" s="4" t="str">
        <f>IF(LEN(TRIM(A548))=0,"",COUNTIFS(Students!H:H, A548, Students!D:D, "&gt;=0"))</f>
        <v/>
      </c>
      <c r="H548" s="4" t="str">
        <f t="shared" si="16"/>
        <v/>
      </c>
      <c r="I548" s="30" t="str">
        <f t="shared" si="17"/>
        <v/>
      </c>
    </row>
    <row r="549" spans="6:9" x14ac:dyDescent="0.2">
      <c r="F549" s="4" t="str">
        <f>IF(LEN(TRIM(A549))=0,"",COUNTIFS(Students!H:H, A549))</f>
        <v/>
      </c>
      <c r="G549" s="4" t="str">
        <f>IF(LEN(TRIM(A549))=0,"",COUNTIFS(Students!H:H, A549, Students!D:D, "&gt;=0"))</f>
        <v/>
      </c>
      <c r="H549" s="4" t="str">
        <f t="shared" si="16"/>
        <v/>
      </c>
      <c r="I549" s="30" t="str">
        <f t="shared" si="17"/>
        <v/>
      </c>
    </row>
    <row r="550" spans="6:9" x14ac:dyDescent="0.2">
      <c r="F550" s="4" t="str">
        <f>IF(LEN(TRIM(A550))=0,"",COUNTIFS(Students!H:H, A550))</f>
        <v/>
      </c>
      <c r="G550" s="4" t="str">
        <f>IF(LEN(TRIM(A550))=0,"",COUNTIFS(Students!H:H, A550, Students!D:D, "&gt;=0"))</f>
        <v/>
      </c>
      <c r="H550" s="4" t="str">
        <f t="shared" si="16"/>
        <v/>
      </c>
      <c r="I550" s="30" t="str">
        <f t="shared" si="17"/>
        <v/>
      </c>
    </row>
    <row r="551" spans="6:9" x14ac:dyDescent="0.2">
      <c r="F551" s="4" t="str">
        <f>IF(LEN(TRIM(A551))=0,"",COUNTIFS(Students!H:H, A551))</f>
        <v/>
      </c>
      <c r="G551" s="4" t="str">
        <f>IF(LEN(TRIM(A551))=0,"",COUNTIFS(Students!H:H, A551, Students!D:D, "&gt;=0"))</f>
        <v/>
      </c>
      <c r="H551" s="4" t="str">
        <f t="shared" si="16"/>
        <v/>
      </c>
      <c r="I551" s="30" t="str">
        <f t="shared" si="17"/>
        <v/>
      </c>
    </row>
    <row r="552" spans="6:9" x14ac:dyDescent="0.2">
      <c r="F552" s="4" t="str">
        <f>IF(LEN(TRIM(A552))=0,"",COUNTIFS(Students!H:H, A552))</f>
        <v/>
      </c>
      <c r="G552" s="4" t="str">
        <f>IF(LEN(TRIM(A552))=0,"",COUNTIFS(Students!H:H, A552, Students!D:D, "&gt;=0"))</f>
        <v/>
      </c>
      <c r="H552" s="4" t="str">
        <f t="shared" si="16"/>
        <v/>
      </c>
      <c r="I552" s="30" t="str">
        <f t="shared" si="17"/>
        <v/>
      </c>
    </row>
    <row r="553" spans="6:9" x14ac:dyDescent="0.2">
      <c r="F553" s="4" t="str">
        <f>IF(LEN(TRIM(A553))=0,"",COUNTIFS(Students!H:H, A553))</f>
        <v/>
      </c>
      <c r="G553" s="4" t="str">
        <f>IF(LEN(TRIM(A553))=0,"",COUNTIFS(Students!H:H, A553, Students!D:D, "&gt;=0"))</f>
        <v/>
      </c>
      <c r="H553" s="4" t="str">
        <f t="shared" si="16"/>
        <v/>
      </c>
      <c r="I553" s="30" t="str">
        <f t="shared" si="17"/>
        <v/>
      </c>
    </row>
    <row r="554" spans="6:9" x14ac:dyDescent="0.2">
      <c r="F554" s="4" t="str">
        <f>IF(LEN(TRIM(A554))=0,"",COUNTIFS(Students!H:H, A554))</f>
        <v/>
      </c>
      <c r="G554" s="4" t="str">
        <f>IF(LEN(TRIM(A554))=0,"",COUNTIFS(Students!H:H, A554, Students!D:D, "&gt;=0"))</f>
        <v/>
      </c>
      <c r="H554" s="4" t="str">
        <f t="shared" si="16"/>
        <v/>
      </c>
      <c r="I554" s="30" t="str">
        <f t="shared" si="17"/>
        <v/>
      </c>
    </row>
    <row r="555" spans="6:9" x14ac:dyDescent="0.2">
      <c r="F555" s="4" t="str">
        <f>IF(LEN(TRIM(A555))=0,"",COUNTIFS(Students!H:H, A555))</f>
        <v/>
      </c>
      <c r="G555" s="4" t="str">
        <f>IF(LEN(TRIM(A555))=0,"",COUNTIFS(Students!H:H, A555, Students!D:D, "&gt;=0"))</f>
        <v/>
      </c>
      <c r="H555" s="4" t="str">
        <f t="shared" si="16"/>
        <v/>
      </c>
      <c r="I555" s="30" t="str">
        <f t="shared" si="17"/>
        <v/>
      </c>
    </row>
    <row r="556" spans="6:9" x14ac:dyDescent="0.2">
      <c r="F556" s="4" t="str">
        <f>IF(LEN(TRIM(A556))=0,"",COUNTIFS(Students!H:H, A556))</f>
        <v/>
      </c>
      <c r="G556" s="4" t="str">
        <f>IF(LEN(TRIM(A556))=0,"",COUNTIFS(Students!H:H, A556, Students!D:D, "&gt;=0"))</f>
        <v/>
      </c>
      <c r="H556" s="4" t="str">
        <f t="shared" si="16"/>
        <v/>
      </c>
      <c r="I556" s="30" t="str">
        <f t="shared" si="17"/>
        <v/>
      </c>
    </row>
    <row r="557" spans="6:9" x14ac:dyDescent="0.2">
      <c r="F557" s="4" t="str">
        <f>IF(LEN(TRIM(A557))=0,"",COUNTIFS(Students!H:H, A557))</f>
        <v/>
      </c>
      <c r="G557" s="4" t="str">
        <f>IF(LEN(TRIM(A557))=0,"",COUNTIFS(Students!H:H, A557, Students!D:D, "&gt;=0"))</f>
        <v/>
      </c>
      <c r="H557" s="4" t="str">
        <f t="shared" si="16"/>
        <v/>
      </c>
      <c r="I557" s="30" t="str">
        <f t="shared" si="17"/>
        <v/>
      </c>
    </row>
    <row r="558" spans="6:9" x14ac:dyDescent="0.2">
      <c r="F558" s="4" t="str">
        <f>IF(LEN(TRIM(A558))=0,"",COUNTIFS(Students!H:H, A558))</f>
        <v/>
      </c>
      <c r="G558" s="4" t="str">
        <f>IF(LEN(TRIM(A558))=0,"",COUNTIFS(Students!H:H, A558, Students!D:D, "&gt;=0"))</f>
        <v/>
      </c>
      <c r="H558" s="4" t="str">
        <f t="shared" si="16"/>
        <v/>
      </c>
      <c r="I558" s="30" t="str">
        <f t="shared" si="17"/>
        <v/>
      </c>
    </row>
    <row r="559" spans="6:9" x14ac:dyDescent="0.2">
      <c r="F559" s="4" t="str">
        <f>IF(LEN(TRIM(A559))=0,"",COUNTIFS(Students!H:H, A559))</f>
        <v/>
      </c>
      <c r="G559" s="4" t="str">
        <f>IF(LEN(TRIM(A559))=0,"",COUNTIFS(Students!H:H, A559, Students!D:D, "&gt;=0"))</f>
        <v/>
      </c>
      <c r="H559" s="4" t="str">
        <f t="shared" si="16"/>
        <v/>
      </c>
      <c r="I559" s="30" t="str">
        <f t="shared" si="17"/>
        <v/>
      </c>
    </row>
    <row r="560" spans="6:9" x14ac:dyDescent="0.2">
      <c r="F560" s="4" t="str">
        <f>IF(LEN(TRIM(A560))=0,"",COUNTIFS(Students!H:H, A560))</f>
        <v/>
      </c>
      <c r="G560" s="4" t="str">
        <f>IF(LEN(TRIM(A560))=0,"",COUNTIFS(Students!H:H, A560, Students!D:D, "&gt;=0"))</f>
        <v/>
      </c>
      <c r="H560" s="4" t="str">
        <f t="shared" si="16"/>
        <v/>
      </c>
      <c r="I560" s="30" t="str">
        <f t="shared" si="17"/>
        <v/>
      </c>
    </row>
    <row r="561" spans="6:9" x14ac:dyDescent="0.2">
      <c r="F561" s="4" t="str">
        <f>IF(LEN(TRIM(A561))=0,"",COUNTIFS(Students!H:H, A561))</f>
        <v/>
      </c>
      <c r="G561" s="4" t="str">
        <f>IF(LEN(TRIM(A561))=0,"",COUNTIFS(Students!H:H, A561, Students!D:D, "&gt;=0"))</f>
        <v/>
      </c>
      <c r="H561" s="4" t="str">
        <f t="shared" si="16"/>
        <v/>
      </c>
      <c r="I561" s="30" t="str">
        <f t="shared" si="17"/>
        <v/>
      </c>
    </row>
    <row r="562" spans="6:9" x14ac:dyDescent="0.2">
      <c r="F562" s="4" t="str">
        <f>IF(LEN(TRIM(A562))=0,"",COUNTIFS(Students!H:H, A562))</f>
        <v/>
      </c>
      <c r="G562" s="4" t="str">
        <f>IF(LEN(TRIM(A562))=0,"",COUNTIFS(Students!H:H, A562, Students!D:D, "&gt;=0"))</f>
        <v/>
      </c>
      <c r="H562" s="4" t="str">
        <f t="shared" si="16"/>
        <v/>
      </c>
      <c r="I562" s="30" t="str">
        <f t="shared" si="17"/>
        <v/>
      </c>
    </row>
    <row r="563" spans="6:9" x14ac:dyDescent="0.2">
      <c r="F563" s="4" t="str">
        <f>IF(LEN(TRIM(A563))=0,"",COUNTIFS(Students!H:H, A563))</f>
        <v/>
      </c>
      <c r="G563" s="4" t="str">
        <f>IF(LEN(TRIM(A563))=0,"",COUNTIFS(Students!H:H, A563, Students!D:D, "&gt;=0"))</f>
        <v/>
      </c>
      <c r="H563" s="4" t="str">
        <f t="shared" si="16"/>
        <v/>
      </c>
      <c r="I563" s="30" t="str">
        <f t="shared" si="17"/>
        <v/>
      </c>
    </row>
    <row r="564" spans="6:9" x14ac:dyDescent="0.2">
      <c r="F564" s="4" t="str">
        <f>IF(LEN(TRIM(A564))=0,"",COUNTIFS(Students!H:H, A564))</f>
        <v/>
      </c>
      <c r="G564" s="4" t="str">
        <f>IF(LEN(TRIM(A564))=0,"",COUNTIFS(Students!H:H, A564, Students!D:D, "&gt;=0"))</f>
        <v/>
      </c>
      <c r="H564" s="4" t="str">
        <f t="shared" si="16"/>
        <v/>
      </c>
      <c r="I564" s="30" t="str">
        <f t="shared" si="17"/>
        <v/>
      </c>
    </row>
    <row r="565" spans="6:9" x14ac:dyDescent="0.2">
      <c r="F565" s="4" t="str">
        <f>IF(LEN(TRIM(A565))=0,"",COUNTIFS(Students!H:H, A565))</f>
        <v/>
      </c>
      <c r="G565" s="4" t="str">
        <f>IF(LEN(TRIM(A565))=0,"",COUNTIFS(Students!H:H, A565, Students!D:D, "&gt;=0"))</f>
        <v/>
      </c>
      <c r="H565" s="4" t="str">
        <f t="shared" si="16"/>
        <v/>
      </c>
      <c r="I565" s="30" t="str">
        <f t="shared" si="17"/>
        <v/>
      </c>
    </row>
    <row r="566" spans="6:9" x14ac:dyDescent="0.2">
      <c r="F566" s="4" t="str">
        <f>IF(LEN(TRIM(A566))=0,"",COUNTIFS(Students!H:H, A566))</f>
        <v/>
      </c>
      <c r="G566" s="4" t="str">
        <f>IF(LEN(TRIM(A566))=0,"",COUNTIFS(Students!H:H, A566, Students!D:D, "&gt;=0"))</f>
        <v/>
      </c>
      <c r="H566" s="4" t="str">
        <f t="shared" si="16"/>
        <v/>
      </c>
      <c r="I566" s="30" t="str">
        <f t="shared" si="17"/>
        <v/>
      </c>
    </row>
    <row r="567" spans="6:9" x14ac:dyDescent="0.2">
      <c r="F567" s="4" t="str">
        <f>IF(LEN(TRIM(A567))=0,"",COUNTIFS(Students!H:H, A567))</f>
        <v/>
      </c>
      <c r="G567" s="4" t="str">
        <f>IF(LEN(TRIM(A567))=0,"",COUNTIFS(Students!H:H, A567, Students!D:D, "&gt;=0"))</f>
        <v/>
      </c>
      <c r="H567" s="4" t="str">
        <f t="shared" si="16"/>
        <v/>
      </c>
      <c r="I567" s="30" t="str">
        <f t="shared" si="17"/>
        <v/>
      </c>
    </row>
    <row r="568" spans="6:9" x14ac:dyDescent="0.2">
      <c r="F568" s="4" t="str">
        <f>IF(LEN(TRIM(A568))=0,"",COUNTIFS(Students!H:H, A568))</f>
        <v/>
      </c>
      <c r="G568" s="4" t="str">
        <f>IF(LEN(TRIM(A568))=0,"",COUNTIFS(Students!H:H, A568, Students!D:D, "&gt;=0"))</f>
        <v/>
      </c>
      <c r="H568" s="4" t="str">
        <f t="shared" si="16"/>
        <v/>
      </c>
      <c r="I568" s="30" t="str">
        <f t="shared" si="17"/>
        <v/>
      </c>
    </row>
    <row r="569" spans="6:9" x14ac:dyDescent="0.2">
      <c r="F569" s="4" t="str">
        <f>IF(LEN(TRIM(A569))=0,"",COUNTIFS(Students!H:H, A569))</f>
        <v/>
      </c>
      <c r="G569" s="4" t="str">
        <f>IF(LEN(TRIM(A569))=0,"",COUNTIFS(Students!H:H, A569, Students!D:D, "&gt;=0"))</f>
        <v/>
      </c>
      <c r="H569" s="4" t="str">
        <f t="shared" si="16"/>
        <v/>
      </c>
      <c r="I569" s="30" t="str">
        <f t="shared" si="17"/>
        <v/>
      </c>
    </row>
    <row r="570" spans="6:9" x14ac:dyDescent="0.2">
      <c r="F570" s="4" t="str">
        <f>IF(LEN(TRIM(A570))=0,"",COUNTIFS(Students!H:H, A570))</f>
        <v/>
      </c>
      <c r="G570" s="4" t="str">
        <f>IF(LEN(TRIM(A570))=0,"",COUNTIFS(Students!H:H, A570, Students!D:D, "&gt;=0"))</f>
        <v/>
      </c>
      <c r="H570" s="4" t="str">
        <f t="shared" si="16"/>
        <v/>
      </c>
      <c r="I570" s="30" t="str">
        <f t="shared" si="17"/>
        <v/>
      </c>
    </row>
    <row r="571" spans="6:9" x14ac:dyDescent="0.2">
      <c r="F571" s="4" t="str">
        <f>IF(LEN(TRIM(A571))=0,"",COUNTIFS(Students!H:H, A571))</f>
        <v/>
      </c>
      <c r="G571" s="4" t="str">
        <f>IF(LEN(TRIM(A571))=0,"",COUNTIFS(Students!H:H, A571, Students!D:D, "&gt;=0"))</f>
        <v/>
      </c>
      <c r="H571" s="4" t="str">
        <f t="shared" si="16"/>
        <v/>
      </c>
      <c r="I571" s="30" t="str">
        <f t="shared" si="17"/>
        <v/>
      </c>
    </row>
    <row r="572" spans="6:9" x14ac:dyDescent="0.2">
      <c r="F572" s="4" t="str">
        <f>IF(LEN(TRIM(A572))=0,"",COUNTIFS(Students!H:H, A572))</f>
        <v/>
      </c>
      <c r="G572" s="4" t="str">
        <f>IF(LEN(TRIM(A572))=0,"",COUNTIFS(Students!H:H, A572, Students!D:D, "&gt;=0"))</f>
        <v/>
      </c>
      <c r="H572" s="4" t="str">
        <f t="shared" si="16"/>
        <v/>
      </c>
      <c r="I572" s="30" t="str">
        <f t="shared" si="17"/>
        <v/>
      </c>
    </row>
    <row r="573" spans="6:9" x14ac:dyDescent="0.2">
      <c r="F573" s="4" t="str">
        <f>IF(LEN(TRIM(A573))=0,"",COUNTIFS(Students!H:H, A573))</f>
        <v/>
      </c>
      <c r="G573" s="4" t="str">
        <f>IF(LEN(TRIM(A573))=0,"",COUNTIFS(Students!H:H, A573, Students!D:D, "&gt;=0"))</f>
        <v/>
      </c>
      <c r="H573" s="4" t="str">
        <f t="shared" si="16"/>
        <v/>
      </c>
      <c r="I573" s="30" t="str">
        <f t="shared" si="17"/>
        <v/>
      </c>
    </row>
    <row r="574" spans="6:9" x14ac:dyDescent="0.2">
      <c r="F574" s="4" t="str">
        <f>IF(LEN(TRIM(A574))=0,"",COUNTIFS(Students!H:H, A574))</f>
        <v/>
      </c>
      <c r="G574" s="4" t="str">
        <f>IF(LEN(TRIM(A574))=0,"",COUNTIFS(Students!H:H, A574, Students!D:D, "&gt;=0"))</f>
        <v/>
      </c>
      <c r="H574" s="4" t="str">
        <f t="shared" si="16"/>
        <v/>
      </c>
      <c r="I574" s="30" t="str">
        <f t="shared" si="17"/>
        <v/>
      </c>
    </row>
    <row r="575" spans="6:9" x14ac:dyDescent="0.2">
      <c r="F575" s="4" t="str">
        <f>IF(LEN(TRIM(A575))=0,"",COUNTIFS(Students!H:H, A575))</f>
        <v/>
      </c>
      <c r="G575" s="4" t="str">
        <f>IF(LEN(TRIM(A575))=0,"",COUNTIFS(Students!H:H, A575, Students!D:D, "&gt;=0"))</f>
        <v/>
      </c>
      <c r="H575" s="4" t="str">
        <f t="shared" si="16"/>
        <v/>
      </c>
      <c r="I575" s="30" t="str">
        <f t="shared" si="17"/>
        <v/>
      </c>
    </row>
    <row r="576" spans="6:9" x14ac:dyDescent="0.2">
      <c r="F576" s="4" t="str">
        <f>IF(LEN(TRIM(A576))=0,"",COUNTIFS(Students!H:H, A576))</f>
        <v/>
      </c>
      <c r="G576" s="4" t="str">
        <f>IF(LEN(TRIM(A576))=0,"",COUNTIFS(Students!H:H, A576, Students!D:D, "&gt;=0"))</f>
        <v/>
      </c>
      <c r="H576" s="4" t="str">
        <f t="shared" si="16"/>
        <v/>
      </c>
      <c r="I576" s="30" t="str">
        <f t="shared" si="17"/>
        <v/>
      </c>
    </row>
    <row r="577" spans="6:9" x14ac:dyDescent="0.2">
      <c r="F577" s="4" t="str">
        <f>IF(LEN(TRIM(A577))=0,"",COUNTIFS(Students!H:H, A577))</f>
        <v/>
      </c>
      <c r="G577" s="4" t="str">
        <f>IF(LEN(TRIM(A577))=0,"",COUNTIFS(Students!H:H, A577, Students!D:D, "&gt;=0"))</f>
        <v/>
      </c>
      <c r="H577" s="4" t="str">
        <f t="shared" si="16"/>
        <v/>
      </c>
      <c r="I577" s="30" t="str">
        <f t="shared" si="17"/>
        <v/>
      </c>
    </row>
    <row r="578" spans="6:9" x14ac:dyDescent="0.2">
      <c r="F578" s="4" t="str">
        <f>IF(LEN(TRIM(A578))=0,"",COUNTIFS(Students!H:H, A578))</f>
        <v/>
      </c>
      <c r="G578" s="4" t="str">
        <f>IF(LEN(TRIM(A578))=0,"",COUNTIFS(Students!H:H, A578, Students!D:D, "&gt;=0"))</f>
        <v/>
      </c>
      <c r="H578" s="4" t="str">
        <f t="shared" si="16"/>
        <v/>
      </c>
      <c r="I578" s="30" t="str">
        <f t="shared" si="17"/>
        <v/>
      </c>
    </row>
    <row r="579" spans="6:9" x14ac:dyDescent="0.2">
      <c r="F579" s="4" t="str">
        <f>IF(LEN(TRIM(A579))=0,"",COUNTIFS(Students!H:H, A579))</f>
        <v/>
      </c>
      <c r="G579" s="4" t="str">
        <f>IF(LEN(TRIM(A579))=0,"",COUNTIFS(Students!H:H, A579, Students!D:D, "&gt;=0"))</f>
        <v/>
      </c>
      <c r="H579" s="4" t="str">
        <f t="shared" ref="H579:H642" si="18">IFERROR(F579-G579,"")</f>
        <v/>
      </c>
      <c r="I579" s="30" t="str">
        <f t="shared" ref="I579:I642" si="19">IFERROR(IF(F579=0, "N/A", G579/F579),"")</f>
        <v/>
      </c>
    </row>
    <row r="580" spans="6:9" x14ac:dyDescent="0.2">
      <c r="F580" s="4" t="str">
        <f>IF(LEN(TRIM(A580))=0,"",COUNTIFS(Students!H:H, A580))</f>
        <v/>
      </c>
      <c r="G580" s="4" t="str">
        <f>IF(LEN(TRIM(A580))=0,"",COUNTIFS(Students!H:H, A580, Students!D:D, "&gt;=0"))</f>
        <v/>
      </c>
      <c r="H580" s="4" t="str">
        <f t="shared" si="18"/>
        <v/>
      </c>
      <c r="I580" s="30" t="str">
        <f t="shared" si="19"/>
        <v/>
      </c>
    </row>
    <row r="581" spans="6:9" x14ac:dyDescent="0.2">
      <c r="F581" s="4" t="str">
        <f>IF(LEN(TRIM(A581))=0,"",COUNTIFS(Students!H:H, A581))</f>
        <v/>
      </c>
      <c r="G581" s="4" t="str">
        <f>IF(LEN(TRIM(A581))=0,"",COUNTIFS(Students!H:H, A581, Students!D:D, "&gt;=0"))</f>
        <v/>
      </c>
      <c r="H581" s="4" t="str">
        <f t="shared" si="18"/>
        <v/>
      </c>
      <c r="I581" s="30" t="str">
        <f t="shared" si="19"/>
        <v/>
      </c>
    </row>
    <row r="582" spans="6:9" x14ac:dyDescent="0.2">
      <c r="F582" s="4" t="str">
        <f>IF(LEN(TRIM(A582))=0,"",COUNTIFS(Students!H:H, A582))</f>
        <v/>
      </c>
      <c r="G582" s="4" t="str">
        <f>IF(LEN(TRIM(A582))=0,"",COUNTIFS(Students!H:H, A582, Students!D:D, "&gt;=0"))</f>
        <v/>
      </c>
      <c r="H582" s="4" t="str">
        <f t="shared" si="18"/>
        <v/>
      </c>
      <c r="I582" s="30" t="str">
        <f t="shared" si="19"/>
        <v/>
      </c>
    </row>
    <row r="583" spans="6:9" x14ac:dyDescent="0.2">
      <c r="F583" s="4" t="str">
        <f>IF(LEN(TRIM(A583))=0,"",COUNTIFS(Students!H:H, A583))</f>
        <v/>
      </c>
      <c r="G583" s="4" t="str">
        <f>IF(LEN(TRIM(A583))=0,"",COUNTIFS(Students!H:H, A583, Students!D:D, "&gt;=0"))</f>
        <v/>
      </c>
      <c r="H583" s="4" t="str">
        <f t="shared" si="18"/>
        <v/>
      </c>
      <c r="I583" s="30" t="str">
        <f t="shared" si="19"/>
        <v/>
      </c>
    </row>
    <row r="584" spans="6:9" x14ac:dyDescent="0.2">
      <c r="F584" s="4" t="str">
        <f>IF(LEN(TRIM(A584))=0,"",COUNTIFS(Students!H:H, A584))</f>
        <v/>
      </c>
      <c r="G584" s="4" t="str">
        <f>IF(LEN(TRIM(A584))=0,"",COUNTIFS(Students!H:H, A584, Students!D:D, "&gt;=0"))</f>
        <v/>
      </c>
      <c r="H584" s="4" t="str">
        <f t="shared" si="18"/>
        <v/>
      </c>
      <c r="I584" s="30" t="str">
        <f t="shared" si="19"/>
        <v/>
      </c>
    </row>
    <row r="585" spans="6:9" x14ac:dyDescent="0.2">
      <c r="F585" s="4" t="str">
        <f>IF(LEN(TRIM(A585))=0,"",COUNTIFS(Students!H:H, A585))</f>
        <v/>
      </c>
      <c r="G585" s="4" t="str">
        <f>IF(LEN(TRIM(A585))=0,"",COUNTIFS(Students!H:H, A585, Students!D:D, "&gt;=0"))</f>
        <v/>
      </c>
      <c r="H585" s="4" t="str">
        <f t="shared" si="18"/>
        <v/>
      </c>
      <c r="I585" s="30" t="str">
        <f t="shared" si="19"/>
        <v/>
      </c>
    </row>
    <row r="586" spans="6:9" x14ac:dyDescent="0.2">
      <c r="F586" s="4" t="str">
        <f>IF(LEN(TRIM(A586))=0,"",COUNTIFS(Students!H:H, A586))</f>
        <v/>
      </c>
      <c r="G586" s="4" t="str">
        <f>IF(LEN(TRIM(A586))=0,"",COUNTIFS(Students!H:H, A586, Students!D:D, "&gt;=0"))</f>
        <v/>
      </c>
      <c r="H586" s="4" t="str">
        <f t="shared" si="18"/>
        <v/>
      </c>
      <c r="I586" s="30" t="str">
        <f t="shared" si="19"/>
        <v/>
      </c>
    </row>
    <row r="587" spans="6:9" x14ac:dyDescent="0.2">
      <c r="F587" s="4" t="str">
        <f>IF(LEN(TRIM(A587))=0,"",COUNTIFS(Students!H:H, A587))</f>
        <v/>
      </c>
      <c r="G587" s="4" t="str">
        <f>IF(LEN(TRIM(A587))=0,"",COUNTIFS(Students!H:H, A587, Students!D:D, "&gt;=0"))</f>
        <v/>
      </c>
      <c r="H587" s="4" t="str">
        <f t="shared" si="18"/>
        <v/>
      </c>
      <c r="I587" s="30" t="str">
        <f t="shared" si="19"/>
        <v/>
      </c>
    </row>
    <row r="588" spans="6:9" x14ac:dyDescent="0.2">
      <c r="F588" s="4" t="str">
        <f>IF(LEN(TRIM(A588))=0,"",COUNTIFS(Students!H:H, A588))</f>
        <v/>
      </c>
      <c r="G588" s="4" t="str">
        <f>IF(LEN(TRIM(A588))=0,"",COUNTIFS(Students!H:H, A588, Students!D:D, "&gt;=0"))</f>
        <v/>
      </c>
      <c r="H588" s="4" t="str">
        <f t="shared" si="18"/>
        <v/>
      </c>
      <c r="I588" s="30" t="str">
        <f t="shared" si="19"/>
        <v/>
      </c>
    </row>
    <row r="589" spans="6:9" x14ac:dyDescent="0.2">
      <c r="F589" s="4" t="str">
        <f>IF(LEN(TRIM(A589))=0,"",COUNTIFS(Students!H:H, A589))</f>
        <v/>
      </c>
      <c r="G589" s="4" t="str">
        <f>IF(LEN(TRIM(A589))=0,"",COUNTIFS(Students!H:H, A589, Students!D:D, "&gt;=0"))</f>
        <v/>
      </c>
      <c r="H589" s="4" t="str">
        <f t="shared" si="18"/>
        <v/>
      </c>
      <c r="I589" s="30" t="str">
        <f t="shared" si="19"/>
        <v/>
      </c>
    </row>
    <row r="590" spans="6:9" x14ac:dyDescent="0.2">
      <c r="F590" s="4" t="str">
        <f>IF(LEN(TRIM(A590))=0,"",COUNTIFS(Students!H:H, A590))</f>
        <v/>
      </c>
      <c r="G590" s="4" t="str">
        <f>IF(LEN(TRIM(A590))=0,"",COUNTIFS(Students!H:H, A590, Students!D:D, "&gt;=0"))</f>
        <v/>
      </c>
      <c r="H590" s="4" t="str">
        <f t="shared" si="18"/>
        <v/>
      </c>
      <c r="I590" s="30" t="str">
        <f t="shared" si="19"/>
        <v/>
      </c>
    </row>
    <row r="591" spans="6:9" x14ac:dyDescent="0.2">
      <c r="F591" s="4" t="str">
        <f>IF(LEN(TRIM(A591))=0,"",COUNTIFS(Students!H:H, A591))</f>
        <v/>
      </c>
      <c r="G591" s="4" t="str">
        <f>IF(LEN(TRIM(A591))=0,"",COUNTIFS(Students!H:H, A591, Students!D:D, "&gt;=0"))</f>
        <v/>
      </c>
      <c r="H591" s="4" t="str">
        <f t="shared" si="18"/>
        <v/>
      </c>
      <c r="I591" s="30" t="str">
        <f t="shared" si="19"/>
        <v/>
      </c>
    </row>
    <row r="592" spans="6:9" x14ac:dyDescent="0.2">
      <c r="F592" s="4" t="str">
        <f>IF(LEN(TRIM(A592))=0,"",COUNTIFS(Students!H:H, A592))</f>
        <v/>
      </c>
      <c r="G592" s="4" t="str">
        <f>IF(LEN(TRIM(A592))=0,"",COUNTIFS(Students!H:H, A592, Students!D:D, "&gt;=0"))</f>
        <v/>
      </c>
      <c r="H592" s="4" t="str">
        <f t="shared" si="18"/>
        <v/>
      </c>
      <c r="I592" s="30" t="str">
        <f t="shared" si="19"/>
        <v/>
      </c>
    </row>
    <row r="593" spans="6:9" x14ac:dyDescent="0.2">
      <c r="F593" s="4" t="str">
        <f>IF(LEN(TRIM(A593))=0,"",COUNTIFS(Students!H:H, A593))</f>
        <v/>
      </c>
      <c r="G593" s="4" t="str">
        <f>IF(LEN(TRIM(A593))=0,"",COUNTIFS(Students!H:H, A593, Students!D:D, "&gt;=0"))</f>
        <v/>
      </c>
      <c r="H593" s="4" t="str">
        <f t="shared" si="18"/>
        <v/>
      </c>
      <c r="I593" s="30" t="str">
        <f t="shared" si="19"/>
        <v/>
      </c>
    </row>
    <row r="594" spans="6:9" x14ac:dyDescent="0.2">
      <c r="F594" s="4" t="str">
        <f>IF(LEN(TRIM(A594))=0,"",COUNTIFS(Students!H:H, A594))</f>
        <v/>
      </c>
      <c r="G594" s="4" t="str">
        <f>IF(LEN(TRIM(A594))=0,"",COUNTIFS(Students!H:H, A594, Students!D:D, "&gt;=0"))</f>
        <v/>
      </c>
      <c r="H594" s="4" t="str">
        <f t="shared" si="18"/>
        <v/>
      </c>
      <c r="I594" s="30" t="str">
        <f t="shared" si="19"/>
        <v/>
      </c>
    </row>
    <row r="595" spans="6:9" x14ac:dyDescent="0.2">
      <c r="F595" s="4" t="str">
        <f>IF(LEN(TRIM(A595))=0,"",COUNTIFS(Students!H:H, A595))</f>
        <v/>
      </c>
      <c r="G595" s="4" t="str">
        <f>IF(LEN(TRIM(A595))=0,"",COUNTIFS(Students!H:H, A595, Students!D:D, "&gt;=0"))</f>
        <v/>
      </c>
      <c r="H595" s="4" t="str">
        <f t="shared" si="18"/>
        <v/>
      </c>
      <c r="I595" s="30" t="str">
        <f t="shared" si="19"/>
        <v/>
      </c>
    </row>
    <row r="596" spans="6:9" x14ac:dyDescent="0.2">
      <c r="F596" s="4" t="str">
        <f>IF(LEN(TRIM(A596))=0,"",COUNTIFS(Students!H:H, A596))</f>
        <v/>
      </c>
      <c r="G596" s="4" t="str">
        <f>IF(LEN(TRIM(A596))=0,"",COUNTIFS(Students!H:H, A596, Students!D:D, "&gt;=0"))</f>
        <v/>
      </c>
      <c r="H596" s="4" t="str">
        <f t="shared" si="18"/>
        <v/>
      </c>
      <c r="I596" s="30" t="str">
        <f t="shared" si="19"/>
        <v/>
      </c>
    </row>
    <row r="597" spans="6:9" x14ac:dyDescent="0.2">
      <c r="F597" s="4" t="str">
        <f>IF(LEN(TRIM(A597))=0,"",COUNTIFS(Students!H:H, A597))</f>
        <v/>
      </c>
      <c r="G597" s="4" t="str">
        <f>IF(LEN(TRIM(A597))=0,"",COUNTIFS(Students!H:H, A597, Students!D:D, "&gt;=0"))</f>
        <v/>
      </c>
      <c r="H597" s="4" t="str">
        <f t="shared" si="18"/>
        <v/>
      </c>
      <c r="I597" s="30" t="str">
        <f t="shared" si="19"/>
        <v/>
      </c>
    </row>
    <row r="598" spans="6:9" x14ac:dyDescent="0.2">
      <c r="F598" s="4" t="str">
        <f>IF(LEN(TRIM(A598))=0,"",COUNTIFS(Students!H:H, A598))</f>
        <v/>
      </c>
      <c r="G598" s="4" t="str">
        <f>IF(LEN(TRIM(A598))=0,"",COUNTIFS(Students!H:H, A598, Students!D:D, "&gt;=0"))</f>
        <v/>
      </c>
      <c r="H598" s="4" t="str">
        <f t="shared" si="18"/>
        <v/>
      </c>
      <c r="I598" s="30" t="str">
        <f t="shared" si="19"/>
        <v/>
      </c>
    </row>
    <row r="599" spans="6:9" x14ac:dyDescent="0.2">
      <c r="F599" s="4" t="str">
        <f>IF(LEN(TRIM(A599))=0,"",COUNTIFS(Students!H:H, A599))</f>
        <v/>
      </c>
      <c r="G599" s="4" t="str">
        <f>IF(LEN(TRIM(A599))=0,"",COUNTIFS(Students!H:H, A599, Students!D:D, "&gt;=0"))</f>
        <v/>
      </c>
      <c r="H599" s="4" t="str">
        <f t="shared" si="18"/>
        <v/>
      </c>
      <c r="I599" s="30" t="str">
        <f t="shared" si="19"/>
        <v/>
      </c>
    </row>
    <row r="600" spans="6:9" x14ac:dyDescent="0.2">
      <c r="F600" s="4" t="str">
        <f>IF(LEN(TRIM(A600))=0,"",COUNTIFS(Students!H:H, A600))</f>
        <v/>
      </c>
      <c r="G600" s="4" t="str">
        <f>IF(LEN(TRIM(A600))=0,"",COUNTIFS(Students!H:H, A600, Students!D:D, "&gt;=0"))</f>
        <v/>
      </c>
      <c r="H600" s="4" t="str">
        <f t="shared" si="18"/>
        <v/>
      </c>
      <c r="I600" s="30" t="str">
        <f t="shared" si="19"/>
        <v/>
      </c>
    </row>
    <row r="601" spans="6:9" x14ac:dyDescent="0.2">
      <c r="F601" s="4" t="str">
        <f>IF(LEN(TRIM(A601))=0,"",COUNTIFS(Students!H:H, A601))</f>
        <v/>
      </c>
      <c r="G601" s="4" t="str">
        <f>IF(LEN(TRIM(A601))=0,"",COUNTIFS(Students!H:H, A601, Students!D:D, "&gt;=0"))</f>
        <v/>
      </c>
      <c r="H601" s="4" t="str">
        <f t="shared" si="18"/>
        <v/>
      </c>
      <c r="I601" s="30" t="str">
        <f t="shared" si="19"/>
        <v/>
      </c>
    </row>
    <row r="602" spans="6:9" x14ac:dyDescent="0.2">
      <c r="F602" s="4" t="str">
        <f>IF(LEN(TRIM(A602))=0,"",COUNTIFS(Students!H:H, A602))</f>
        <v/>
      </c>
      <c r="G602" s="4" t="str">
        <f>IF(LEN(TRIM(A602))=0,"",COUNTIFS(Students!H:H, A602, Students!D:D, "&gt;=0"))</f>
        <v/>
      </c>
      <c r="H602" s="4" t="str">
        <f t="shared" si="18"/>
        <v/>
      </c>
      <c r="I602" s="30" t="str">
        <f t="shared" si="19"/>
        <v/>
      </c>
    </row>
    <row r="603" spans="6:9" x14ac:dyDescent="0.2">
      <c r="F603" s="4" t="str">
        <f>IF(LEN(TRIM(A603))=0,"",COUNTIFS(Students!H:H, A603))</f>
        <v/>
      </c>
      <c r="G603" s="4" t="str">
        <f>IF(LEN(TRIM(A603))=0,"",COUNTIFS(Students!H:H, A603, Students!D:D, "&gt;=0"))</f>
        <v/>
      </c>
      <c r="H603" s="4" t="str">
        <f t="shared" si="18"/>
        <v/>
      </c>
      <c r="I603" s="30" t="str">
        <f t="shared" si="19"/>
        <v/>
      </c>
    </row>
    <row r="604" spans="6:9" x14ac:dyDescent="0.2">
      <c r="F604" s="4" t="str">
        <f>IF(LEN(TRIM(A604))=0,"",COUNTIFS(Students!H:H, A604))</f>
        <v/>
      </c>
      <c r="G604" s="4" t="str">
        <f>IF(LEN(TRIM(A604))=0,"",COUNTIFS(Students!H:H, A604, Students!D:D, "&gt;=0"))</f>
        <v/>
      </c>
      <c r="H604" s="4" t="str">
        <f t="shared" si="18"/>
        <v/>
      </c>
      <c r="I604" s="30" t="str">
        <f t="shared" si="19"/>
        <v/>
      </c>
    </row>
    <row r="605" spans="6:9" x14ac:dyDescent="0.2">
      <c r="F605" s="4" t="str">
        <f>IF(LEN(TRIM(A605))=0,"",COUNTIFS(Students!H:H, A605))</f>
        <v/>
      </c>
      <c r="G605" s="4" t="str">
        <f>IF(LEN(TRIM(A605))=0,"",COUNTIFS(Students!H:H, A605, Students!D:D, "&gt;=0"))</f>
        <v/>
      </c>
      <c r="H605" s="4" t="str">
        <f t="shared" si="18"/>
        <v/>
      </c>
      <c r="I605" s="30" t="str">
        <f t="shared" si="19"/>
        <v/>
      </c>
    </row>
    <row r="606" spans="6:9" x14ac:dyDescent="0.2">
      <c r="F606" s="4" t="str">
        <f>IF(LEN(TRIM(A606))=0,"",COUNTIFS(Students!H:H, A606))</f>
        <v/>
      </c>
      <c r="G606" s="4" t="str">
        <f>IF(LEN(TRIM(A606))=0,"",COUNTIFS(Students!H:H, A606, Students!D:D, "&gt;=0"))</f>
        <v/>
      </c>
      <c r="H606" s="4" t="str">
        <f t="shared" si="18"/>
        <v/>
      </c>
      <c r="I606" s="30" t="str">
        <f t="shared" si="19"/>
        <v/>
      </c>
    </row>
    <row r="607" spans="6:9" x14ac:dyDescent="0.2">
      <c r="F607" s="4" t="str">
        <f>IF(LEN(TRIM(A607))=0,"",COUNTIFS(Students!H:H, A607))</f>
        <v/>
      </c>
      <c r="G607" s="4" t="str">
        <f>IF(LEN(TRIM(A607))=0,"",COUNTIFS(Students!H:H, A607, Students!D:D, "&gt;=0"))</f>
        <v/>
      </c>
      <c r="H607" s="4" t="str">
        <f t="shared" si="18"/>
        <v/>
      </c>
      <c r="I607" s="30" t="str">
        <f t="shared" si="19"/>
        <v/>
      </c>
    </row>
    <row r="608" spans="6:9" x14ac:dyDescent="0.2">
      <c r="F608" s="4" t="str">
        <f>IF(LEN(TRIM(A608))=0,"",COUNTIFS(Students!H:H, A608))</f>
        <v/>
      </c>
      <c r="G608" s="4" t="str">
        <f>IF(LEN(TRIM(A608))=0,"",COUNTIFS(Students!H:H, A608, Students!D:D, "&gt;=0"))</f>
        <v/>
      </c>
      <c r="H608" s="4" t="str">
        <f t="shared" si="18"/>
        <v/>
      </c>
      <c r="I608" s="30" t="str">
        <f t="shared" si="19"/>
        <v/>
      </c>
    </row>
    <row r="609" spans="6:9" x14ac:dyDescent="0.2">
      <c r="F609" s="4" t="str">
        <f>IF(LEN(TRIM(A609))=0,"",COUNTIFS(Students!H:H, A609))</f>
        <v/>
      </c>
      <c r="G609" s="4" t="str">
        <f>IF(LEN(TRIM(A609))=0,"",COUNTIFS(Students!H:H, A609, Students!D:D, "&gt;=0"))</f>
        <v/>
      </c>
      <c r="H609" s="4" t="str">
        <f t="shared" si="18"/>
        <v/>
      </c>
      <c r="I609" s="30" t="str">
        <f t="shared" si="19"/>
        <v/>
      </c>
    </row>
    <row r="610" spans="6:9" x14ac:dyDescent="0.2">
      <c r="F610" s="4" t="str">
        <f>IF(LEN(TRIM(A610))=0,"",COUNTIFS(Students!H:H, A610))</f>
        <v/>
      </c>
      <c r="G610" s="4" t="str">
        <f>IF(LEN(TRIM(A610))=0,"",COUNTIFS(Students!H:H, A610, Students!D:D, "&gt;=0"))</f>
        <v/>
      </c>
      <c r="H610" s="4" t="str">
        <f t="shared" si="18"/>
        <v/>
      </c>
      <c r="I610" s="30" t="str">
        <f t="shared" si="19"/>
        <v/>
      </c>
    </row>
    <row r="611" spans="6:9" x14ac:dyDescent="0.2">
      <c r="F611" s="4" t="str">
        <f>IF(LEN(TRIM(A611))=0,"",COUNTIFS(Students!H:H, A611))</f>
        <v/>
      </c>
      <c r="G611" s="4" t="str">
        <f>IF(LEN(TRIM(A611))=0,"",COUNTIFS(Students!H:H, A611, Students!D:D, "&gt;=0"))</f>
        <v/>
      </c>
      <c r="H611" s="4" t="str">
        <f t="shared" si="18"/>
        <v/>
      </c>
      <c r="I611" s="30" t="str">
        <f t="shared" si="19"/>
        <v/>
      </c>
    </row>
    <row r="612" spans="6:9" x14ac:dyDescent="0.2">
      <c r="F612" s="4" t="str">
        <f>IF(LEN(TRIM(A612))=0,"",COUNTIFS(Students!H:H, A612))</f>
        <v/>
      </c>
      <c r="G612" s="4" t="str">
        <f>IF(LEN(TRIM(A612))=0,"",COUNTIFS(Students!H:H, A612, Students!D:D, "&gt;=0"))</f>
        <v/>
      </c>
      <c r="H612" s="4" t="str">
        <f t="shared" si="18"/>
        <v/>
      </c>
      <c r="I612" s="30" t="str">
        <f t="shared" si="19"/>
        <v/>
      </c>
    </row>
    <row r="613" spans="6:9" x14ac:dyDescent="0.2">
      <c r="F613" s="4" t="str">
        <f>IF(LEN(TRIM(A613))=0,"",COUNTIFS(Students!H:H, A613))</f>
        <v/>
      </c>
      <c r="G613" s="4" t="str">
        <f>IF(LEN(TRIM(A613))=0,"",COUNTIFS(Students!H:H, A613, Students!D:D, "&gt;=0"))</f>
        <v/>
      </c>
      <c r="H613" s="4" t="str">
        <f t="shared" si="18"/>
        <v/>
      </c>
      <c r="I613" s="30" t="str">
        <f t="shared" si="19"/>
        <v/>
      </c>
    </row>
    <row r="614" spans="6:9" x14ac:dyDescent="0.2">
      <c r="F614" s="4" t="str">
        <f>IF(LEN(TRIM(A614))=0,"",COUNTIFS(Students!H:H, A614))</f>
        <v/>
      </c>
      <c r="G614" s="4" t="str">
        <f>IF(LEN(TRIM(A614))=0,"",COUNTIFS(Students!H:H, A614, Students!D:D, "&gt;=0"))</f>
        <v/>
      </c>
      <c r="H614" s="4" t="str">
        <f t="shared" si="18"/>
        <v/>
      </c>
      <c r="I614" s="30" t="str">
        <f t="shared" si="19"/>
        <v/>
      </c>
    </row>
    <row r="615" spans="6:9" x14ac:dyDescent="0.2">
      <c r="F615" s="4" t="str">
        <f>IF(LEN(TRIM(A615))=0,"",COUNTIFS(Students!H:H, A615))</f>
        <v/>
      </c>
      <c r="G615" s="4" t="str">
        <f>IF(LEN(TRIM(A615))=0,"",COUNTIFS(Students!H:H, A615, Students!D:D, "&gt;=0"))</f>
        <v/>
      </c>
      <c r="H615" s="4" t="str">
        <f t="shared" si="18"/>
        <v/>
      </c>
      <c r="I615" s="30" t="str">
        <f t="shared" si="19"/>
        <v/>
      </c>
    </row>
    <row r="616" spans="6:9" x14ac:dyDescent="0.2">
      <c r="F616" s="4" t="str">
        <f>IF(LEN(TRIM(A616))=0,"",COUNTIFS(Students!H:H, A616))</f>
        <v/>
      </c>
      <c r="G616" s="4" t="str">
        <f>IF(LEN(TRIM(A616))=0,"",COUNTIFS(Students!H:H, A616, Students!D:D, "&gt;=0"))</f>
        <v/>
      </c>
      <c r="H616" s="4" t="str">
        <f t="shared" si="18"/>
        <v/>
      </c>
      <c r="I616" s="30" t="str">
        <f t="shared" si="19"/>
        <v/>
      </c>
    </row>
    <row r="617" spans="6:9" x14ac:dyDescent="0.2">
      <c r="F617" s="4" t="str">
        <f>IF(LEN(TRIM(A617))=0,"",COUNTIFS(Students!H:H, A617))</f>
        <v/>
      </c>
      <c r="G617" s="4" t="str">
        <f>IF(LEN(TRIM(A617))=0,"",COUNTIFS(Students!H:H, A617, Students!D:D, "&gt;=0"))</f>
        <v/>
      </c>
      <c r="H617" s="4" t="str">
        <f t="shared" si="18"/>
        <v/>
      </c>
      <c r="I617" s="30" t="str">
        <f t="shared" si="19"/>
        <v/>
      </c>
    </row>
    <row r="618" spans="6:9" x14ac:dyDescent="0.2">
      <c r="F618" s="4" t="str">
        <f>IF(LEN(TRIM(A618))=0,"",COUNTIFS(Students!H:H, A618))</f>
        <v/>
      </c>
      <c r="G618" s="4" t="str">
        <f>IF(LEN(TRIM(A618))=0,"",COUNTIFS(Students!H:H, A618, Students!D:D, "&gt;=0"))</f>
        <v/>
      </c>
      <c r="H618" s="4" t="str">
        <f t="shared" si="18"/>
        <v/>
      </c>
      <c r="I618" s="30" t="str">
        <f t="shared" si="19"/>
        <v/>
      </c>
    </row>
    <row r="619" spans="6:9" x14ac:dyDescent="0.2">
      <c r="F619" s="4" t="str">
        <f>IF(LEN(TRIM(A619))=0,"",COUNTIFS(Students!H:H, A619))</f>
        <v/>
      </c>
      <c r="G619" s="4" t="str">
        <f>IF(LEN(TRIM(A619))=0,"",COUNTIFS(Students!H:H, A619, Students!D:D, "&gt;=0"))</f>
        <v/>
      </c>
      <c r="H619" s="4" t="str">
        <f t="shared" si="18"/>
        <v/>
      </c>
      <c r="I619" s="30" t="str">
        <f t="shared" si="19"/>
        <v/>
      </c>
    </row>
    <row r="620" spans="6:9" x14ac:dyDescent="0.2">
      <c r="F620" s="4" t="str">
        <f>IF(LEN(TRIM(A620))=0,"",COUNTIFS(Students!H:H, A620))</f>
        <v/>
      </c>
      <c r="G620" s="4" t="str">
        <f>IF(LEN(TRIM(A620))=0,"",COUNTIFS(Students!H:H, A620, Students!D:D, "&gt;=0"))</f>
        <v/>
      </c>
      <c r="H620" s="4" t="str">
        <f t="shared" si="18"/>
        <v/>
      </c>
      <c r="I620" s="30" t="str">
        <f t="shared" si="19"/>
        <v/>
      </c>
    </row>
    <row r="621" spans="6:9" x14ac:dyDescent="0.2">
      <c r="F621" s="4" t="str">
        <f>IF(LEN(TRIM(A621))=0,"",COUNTIFS(Students!H:H, A621))</f>
        <v/>
      </c>
      <c r="G621" s="4" t="str">
        <f>IF(LEN(TRIM(A621))=0,"",COUNTIFS(Students!H:H, A621, Students!D:D, "&gt;=0"))</f>
        <v/>
      </c>
      <c r="H621" s="4" t="str">
        <f t="shared" si="18"/>
        <v/>
      </c>
      <c r="I621" s="30" t="str">
        <f t="shared" si="19"/>
        <v/>
      </c>
    </row>
    <row r="622" spans="6:9" x14ac:dyDescent="0.2">
      <c r="F622" s="4" t="str">
        <f>IF(LEN(TRIM(A622))=0,"",COUNTIFS(Students!H:H, A622))</f>
        <v/>
      </c>
      <c r="G622" s="4" t="str">
        <f>IF(LEN(TRIM(A622))=0,"",COUNTIFS(Students!H:H, A622, Students!D:D, "&gt;=0"))</f>
        <v/>
      </c>
      <c r="H622" s="4" t="str">
        <f t="shared" si="18"/>
        <v/>
      </c>
      <c r="I622" s="30" t="str">
        <f t="shared" si="19"/>
        <v/>
      </c>
    </row>
    <row r="623" spans="6:9" x14ac:dyDescent="0.2">
      <c r="F623" s="4" t="str">
        <f>IF(LEN(TRIM(A623))=0,"",COUNTIFS(Students!H:H, A623))</f>
        <v/>
      </c>
      <c r="G623" s="4" t="str">
        <f>IF(LEN(TRIM(A623))=0,"",COUNTIFS(Students!H:H, A623, Students!D:D, "&gt;=0"))</f>
        <v/>
      </c>
      <c r="H623" s="4" t="str">
        <f t="shared" si="18"/>
        <v/>
      </c>
      <c r="I623" s="30" t="str">
        <f t="shared" si="19"/>
        <v/>
      </c>
    </row>
    <row r="624" spans="6:9" x14ac:dyDescent="0.2">
      <c r="F624" s="4" t="str">
        <f>IF(LEN(TRIM(A624))=0,"",COUNTIFS(Students!H:H, A624))</f>
        <v/>
      </c>
      <c r="G624" s="4" t="str">
        <f>IF(LEN(TRIM(A624))=0,"",COUNTIFS(Students!H:H, A624, Students!D:D, "&gt;=0"))</f>
        <v/>
      </c>
      <c r="H624" s="4" t="str">
        <f t="shared" si="18"/>
        <v/>
      </c>
      <c r="I624" s="30" t="str">
        <f t="shared" si="19"/>
        <v/>
      </c>
    </row>
    <row r="625" spans="6:9" x14ac:dyDescent="0.2">
      <c r="F625" s="4" t="str">
        <f>IF(LEN(TRIM(A625))=0,"",COUNTIFS(Students!H:H, A625))</f>
        <v/>
      </c>
      <c r="G625" s="4" t="str">
        <f>IF(LEN(TRIM(A625))=0,"",COUNTIFS(Students!H:H, A625, Students!D:D, "&gt;=0"))</f>
        <v/>
      </c>
      <c r="H625" s="4" t="str">
        <f t="shared" si="18"/>
        <v/>
      </c>
      <c r="I625" s="30" t="str">
        <f t="shared" si="19"/>
        <v/>
      </c>
    </row>
    <row r="626" spans="6:9" x14ac:dyDescent="0.2">
      <c r="F626" s="4" t="str">
        <f>IF(LEN(TRIM(A626))=0,"",COUNTIFS(Students!H:H, A626))</f>
        <v/>
      </c>
      <c r="G626" s="4" t="str">
        <f>IF(LEN(TRIM(A626))=0,"",COUNTIFS(Students!H:H, A626, Students!D:D, "&gt;=0"))</f>
        <v/>
      </c>
      <c r="H626" s="4" t="str">
        <f t="shared" si="18"/>
        <v/>
      </c>
      <c r="I626" s="30" t="str">
        <f t="shared" si="19"/>
        <v/>
      </c>
    </row>
    <row r="627" spans="6:9" x14ac:dyDescent="0.2">
      <c r="F627" s="4" t="str">
        <f>IF(LEN(TRIM(A627))=0,"",COUNTIFS(Students!H:H, A627))</f>
        <v/>
      </c>
      <c r="G627" s="4" t="str">
        <f>IF(LEN(TRIM(A627))=0,"",COUNTIFS(Students!H:H, A627, Students!D:D, "&gt;=0"))</f>
        <v/>
      </c>
      <c r="H627" s="4" t="str">
        <f t="shared" si="18"/>
        <v/>
      </c>
      <c r="I627" s="30" t="str">
        <f t="shared" si="19"/>
        <v/>
      </c>
    </row>
    <row r="628" spans="6:9" x14ac:dyDescent="0.2">
      <c r="F628" s="4" t="str">
        <f>IF(LEN(TRIM(A628))=0,"",COUNTIFS(Students!H:H, A628))</f>
        <v/>
      </c>
      <c r="G628" s="4" t="str">
        <f>IF(LEN(TRIM(A628))=0,"",COUNTIFS(Students!H:H, A628, Students!D:D, "&gt;=0"))</f>
        <v/>
      </c>
      <c r="H628" s="4" t="str">
        <f t="shared" si="18"/>
        <v/>
      </c>
      <c r="I628" s="30" t="str">
        <f t="shared" si="19"/>
        <v/>
      </c>
    </row>
    <row r="629" spans="6:9" x14ac:dyDescent="0.2">
      <c r="F629" s="4" t="str">
        <f>IF(LEN(TRIM(A629))=0,"",COUNTIFS(Students!H:H, A629))</f>
        <v/>
      </c>
      <c r="G629" s="4" t="str">
        <f>IF(LEN(TRIM(A629))=0,"",COUNTIFS(Students!H:H, A629, Students!D:D, "&gt;=0"))</f>
        <v/>
      </c>
      <c r="H629" s="4" t="str">
        <f t="shared" si="18"/>
        <v/>
      </c>
      <c r="I629" s="30" t="str">
        <f t="shared" si="19"/>
        <v/>
      </c>
    </row>
    <row r="630" spans="6:9" x14ac:dyDescent="0.2">
      <c r="F630" s="4" t="str">
        <f>IF(LEN(TRIM(A630))=0,"",COUNTIFS(Students!H:H, A630))</f>
        <v/>
      </c>
      <c r="G630" s="4" t="str">
        <f>IF(LEN(TRIM(A630))=0,"",COUNTIFS(Students!H:H, A630, Students!D:D, "&gt;=0"))</f>
        <v/>
      </c>
      <c r="H630" s="4" t="str">
        <f t="shared" si="18"/>
        <v/>
      </c>
      <c r="I630" s="30" t="str">
        <f t="shared" si="19"/>
        <v/>
      </c>
    </row>
    <row r="631" spans="6:9" x14ac:dyDescent="0.2">
      <c r="F631" s="4" t="str">
        <f>IF(LEN(TRIM(A631))=0,"",COUNTIFS(Students!H:H, A631))</f>
        <v/>
      </c>
      <c r="G631" s="4" t="str">
        <f>IF(LEN(TRIM(A631))=0,"",COUNTIFS(Students!H:H, A631, Students!D:D, "&gt;=0"))</f>
        <v/>
      </c>
      <c r="H631" s="4" t="str">
        <f t="shared" si="18"/>
        <v/>
      </c>
      <c r="I631" s="30" t="str">
        <f t="shared" si="19"/>
        <v/>
      </c>
    </row>
    <row r="632" spans="6:9" x14ac:dyDescent="0.2">
      <c r="F632" s="4" t="str">
        <f>IF(LEN(TRIM(A632))=0,"",COUNTIFS(Students!H:H, A632))</f>
        <v/>
      </c>
      <c r="G632" s="4" t="str">
        <f>IF(LEN(TRIM(A632))=0,"",COUNTIFS(Students!H:H, A632, Students!D:D, "&gt;=0"))</f>
        <v/>
      </c>
      <c r="H632" s="4" t="str">
        <f t="shared" si="18"/>
        <v/>
      </c>
      <c r="I632" s="30" t="str">
        <f t="shared" si="19"/>
        <v/>
      </c>
    </row>
    <row r="633" spans="6:9" x14ac:dyDescent="0.2">
      <c r="F633" s="4" t="str">
        <f>IF(LEN(TRIM(A633))=0,"",COUNTIFS(Students!H:H, A633))</f>
        <v/>
      </c>
      <c r="G633" s="4" t="str">
        <f>IF(LEN(TRIM(A633))=0,"",COUNTIFS(Students!H:H, A633, Students!D:D, "&gt;=0"))</f>
        <v/>
      </c>
      <c r="H633" s="4" t="str">
        <f t="shared" si="18"/>
        <v/>
      </c>
      <c r="I633" s="30" t="str">
        <f t="shared" si="19"/>
        <v/>
      </c>
    </row>
    <row r="634" spans="6:9" x14ac:dyDescent="0.2">
      <c r="F634" s="4" t="str">
        <f>IF(LEN(TRIM(A634))=0,"",COUNTIFS(Students!H:H, A634))</f>
        <v/>
      </c>
      <c r="G634" s="4" t="str">
        <f>IF(LEN(TRIM(A634))=0,"",COUNTIFS(Students!H:H, A634, Students!D:D, "&gt;=0"))</f>
        <v/>
      </c>
      <c r="H634" s="4" t="str">
        <f t="shared" si="18"/>
        <v/>
      </c>
      <c r="I634" s="30" t="str">
        <f t="shared" si="19"/>
        <v/>
      </c>
    </row>
    <row r="635" spans="6:9" x14ac:dyDescent="0.2">
      <c r="F635" s="4" t="str">
        <f>IF(LEN(TRIM(A635))=0,"",COUNTIFS(Students!H:H, A635))</f>
        <v/>
      </c>
      <c r="G635" s="4" t="str">
        <f>IF(LEN(TRIM(A635))=0,"",COUNTIFS(Students!H:H, A635, Students!D:D, "&gt;=0"))</f>
        <v/>
      </c>
      <c r="H635" s="4" t="str">
        <f t="shared" si="18"/>
        <v/>
      </c>
      <c r="I635" s="30" t="str">
        <f t="shared" si="19"/>
        <v/>
      </c>
    </row>
    <row r="636" spans="6:9" x14ac:dyDescent="0.2">
      <c r="F636" s="4" t="str">
        <f>IF(LEN(TRIM(A636))=0,"",COUNTIFS(Students!H:H, A636))</f>
        <v/>
      </c>
      <c r="G636" s="4" t="str">
        <f>IF(LEN(TRIM(A636))=0,"",COUNTIFS(Students!H:H, A636, Students!D:D, "&gt;=0"))</f>
        <v/>
      </c>
      <c r="H636" s="4" t="str">
        <f t="shared" si="18"/>
        <v/>
      </c>
      <c r="I636" s="30" t="str">
        <f t="shared" si="19"/>
        <v/>
      </c>
    </row>
    <row r="637" spans="6:9" x14ac:dyDescent="0.2">
      <c r="F637" s="4" t="str">
        <f>IF(LEN(TRIM(A637))=0,"",COUNTIFS(Students!H:H, A637))</f>
        <v/>
      </c>
      <c r="G637" s="4" t="str">
        <f>IF(LEN(TRIM(A637))=0,"",COUNTIFS(Students!H:H, A637, Students!D:D, "&gt;=0"))</f>
        <v/>
      </c>
      <c r="H637" s="4" t="str">
        <f t="shared" si="18"/>
        <v/>
      </c>
      <c r="I637" s="30" t="str">
        <f t="shared" si="19"/>
        <v/>
      </c>
    </row>
    <row r="638" spans="6:9" x14ac:dyDescent="0.2">
      <c r="F638" s="4" t="str">
        <f>IF(LEN(TRIM(A638))=0,"",COUNTIFS(Students!H:H, A638))</f>
        <v/>
      </c>
      <c r="G638" s="4" t="str">
        <f>IF(LEN(TRIM(A638))=0,"",COUNTIFS(Students!H:H, A638, Students!D:D, "&gt;=0"))</f>
        <v/>
      </c>
      <c r="H638" s="4" t="str">
        <f t="shared" si="18"/>
        <v/>
      </c>
      <c r="I638" s="30" t="str">
        <f t="shared" si="19"/>
        <v/>
      </c>
    </row>
    <row r="639" spans="6:9" x14ac:dyDescent="0.2">
      <c r="F639" s="4" t="str">
        <f>IF(LEN(TRIM(A639))=0,"",COUNTIFS(Students!H:H, A639))</f>
        <v/>
      </c>
      <c r="G639" s="4" t="str">
        <f>IF(LEN(TRIM(A639))=0,"",COUNTIFS(Students!H:H, A639, Students!D:D, "&gt;=0"))</f>
        <v/>
      </c>
      <c r="H639" s="4" t="str">
        <f t="shared" si="18"/>
        <v/>
      </c>
      <c r="I639" s="30" t="str">
        <f t="shared" si="19"/>
        <v/>
      </c>
    </row>
    <row r="640" spans="6:9" x14ac:dyDescent="0.2">
      <c r="F640" s="4" t="str">
        <f>IF(LEN(TRIM(A640))=0,"",COUNTIFS(Students!H:H, A640))</f>
        <v/>
      </c>
      <c r="G640" s="4" t="str">
        <f>IF(LEN(TRIM(A640))=0,"",COUNTIFS(Students!H:H, A640, Students!D:D, "&gt;=0"))</f>
        <v/>
      </c>
      <c r="H640" s="4" t="str">
        <f t="shared" si="18"/>
        <v/>
      </c>
      <c r="I640" s="30" t="str">
        <f t="shared" si="19"/>
        <v/>
      </c>
    </row>
    <row r="641" spans="6:9" x14ac:dyDescent="0.2">
      <c r="F641" s="4" t="str">
        <f>IF(LEN(TRIM(A641))=0,"",COUNTIFS(Students!H:H, A641))</f>
        <v/>
      </c>
      <c r="G641" s="4" t="str">
        <f>IF(LEN(TRIM(A641))=0,"",COUNTIFS(Students!H:H, A641, Students!D:D, "&gt;=0"))</f>
        <v/>
      </c>
      <c r="H641" s="4" t="str">
        <f t="shared" si="18"/>
        <v/>
      </c>
      <c r="I641" s="30" t="str">
        <f t="shared" si="19"/>
        <v/>
      </c>
    </row>
    <row r="642" spans="6:9" x14ac:dyDescent="0.2">
      <c r="F642" s="4" t="str">
        <f>IF(LEN(TRIM(A642))=0,"",COUNTIFS(Students!H:H, A642))</f>
        <v/>
      </c>
      <c r="G642" s="4" t="str">
        <f>IF(LEN(TRIM(A642))=0,"",COUNTIFS(Students!H:H, A642, Students!D:D, "&gt;=0"))</f>
        <v/>
      </c>
      <c r="H642" s="4" t="str">
        <f t="shared" si="18"/>
        <v/>
      </c>
      <c r="I642" s="30" t="str">
        <f t="shared" si="19"/>
        <v/>
      </c>
    </row>
    <row r="643" spans="6:9" x14ac:dyDescent="0.2">
      <c r="F643" s="4" t="str">
        <f>IF(LEN(TRIM(A643))=0,"",COUNTIFS(Students!H:H, A643))</f>
        <v/>
      </c>
      <c r="G643" s="4" t="str">
        <f>IF(LEN(TRIM(A643))=0,"",COUNTIFS(Students!H:H, A643, Students!D:D, "&gt;=0"))</f>
        <v/>
      </c>
      <c r="H643" s="4" t="str">
        <f t="shared" ref="H643:H706" si="20">IFERROR(F643-G643,"")</f>
        <v/>
      </c>
      <c r="I643" s="30" t="str">
        <f t="shared" ref="I643:I706" si="21">IFERROR(IF(F643=0, "N/A", G643/F643),"")</f>
        <v/>
      </c>
    </row>
    <row r="644" spans="6:9" x14ac:dyDescent="0.2">
      <c r="F644" s="4" t="str">
        <f>IF(LEN(TRIM(A644))=0,"",COUNTIFS(Students!H:H, A644))</f>
        <v/>
      </c>
      <c r="G644" s="4" t="str">
        <f>IF(LEN(TRIM(A644))=0,"",COUNTIFS(Students!H:H, A644, Students!D:D, "&gt;=0"))</f>
        <v/>
      </c>
      <c r="H644" s="4" t="str">
        <f t="shared" si="20"/>
        <v/>
      </c>
      <c r="I644" s="30" t="str">
        <f t="shared" si="21"/>
        <v/>
      </c>
    </row>
    <row r="645" spans="6:9" x14ac:dyDescent="0.2">
      <c r="F645" s="4" t="str">
        <f>IF(LEN(TRIM(A645))=0,"",COUNTIFS(Students!H:H, A645))</f>
        <v/>
      </c>
      <c r="G645" s="4" t="str">
        <f>IF(LEN(TRIM(A645))=0,"",COUNTIFS(Students!H:H, A645, Students!D:D, "&gt;=0"))</f>
        <v/>
      </c>
      <c r="H645" s="4" t="str">
        <f t="shared" si="20"/>
        <v/>
      </c>
      <c r="I645" s="30" t="str">
        <f t="shared" si="21"/>
        <v/>
      </c>
    </row>
    <row r="646" spans="6:9" x14ac:dyDescent="0.2">
      <c r="F646" s="4" t="str">
        <f>IF(LEN(TRIM(A646))=0,"",COUNTIFS(Students!H:H, A646))</f>
        <v/>
      </c>
      <c r="G646" s="4" t="str">
        <f>IF(LEN(TRIM(A646))=0,"",COUNTIFS(Students!H:H, A646, Students!D:D, "&gt;=0"))</f>
        <v/>
      </c>
      <c r="H646" s="4" t="str">
        <f t="shared" si="20"/>
        <v/>
      </c>
      <c r="I646" s="30" t="str">
        <f t="shared" si="21"/>
        <v/>
      </c>
    </row>
    <row r="647" spans="6:9" x14ac:dyDescent="0.2">
      <c r="F647" s="4" t="str">
        <f>IF(LEN(TRIM(A647))=0,"",COUNTIFS(Students!H:H, A647))</f>
        <v/>
      </c>
      <c r="G647" s="4" t="str">
        <f>IF(LEN(TRIM(A647))=0,"",COUNTIFS(Students!H:H, A647, Students!D:D, "&gt;=0"))</f>
        <v/>
      </c>
      <c r="H647" s="4" t="str">
        <f t="shared" si="20"/>
        <v/>
      </c>
      <c r="I647" s="30" t="str">
        <f t="shared" si="21"/>
        <v/>
      </c>
    </row>
    <row r="648" spans="6:9" x14ac:dyDescent="0.2">
      <c r="F648" s="4" t="str">
        <f>IF(LEN(TRIM(A648))=0,"",COUNTIFS(Students!H:H, A648))</f>
        <v/>
      </c>
      <c r="G648" s="4" t="str">
        <f>IF(LEN(TRIM(A648))=0,"",COUNTIFS(Students!H:H, A648, Students!D:D, "&gt;=0"))</f>
        <v/>
      </c>
      <c r="H648" s="4" t="str">
        <f t="shared" si="20"/>
        <v/>
      </c>
      <c r="I648" s="30" t="str">
        <f t="shared" si="21"/>
        <v/>
      </c>
    </row>
    <row r="649" spans="6:9" x14ac:dyDescent="0.2">
      <c r="F649" s="4" t="str">
        <f>IF(LEN(TRIM(A649))=0,"",COUNTIFS(Students!H:H, A649))</f>
        <v/>
      </c>
      <c r="G649" s="4" t="str">
        <f>IF(LEN(TRIM(A649))=0,"",COUNTIFS(Students!H:H, A649, Students!D:D, "&gt;=0"))</f>
        <v/>
      </c>
      <c r="H649" s="4" t="str">
        <f t="shared" si="20"/>
        <v/>
      </c>
      <c r="I649" s="30" t="str">
        <f t="shared" si="21"/>
        <v/>
      </c>
    </row>
    <row r="650" spans="6:9" x14ac:dyDescent="0.2">
      <c r="F650" s="4" t="str">
        <f>IF(LEN(TRIM(A650))=0,"",COUNTIFS(Students!H:H, A650))</f>
        <v/>
      </c>
      <c r="G650" s="4" t="str">
        <f>IF(LEN(TRIM(A650))=0,"",COUNTIFS(Students!H:H, A650, Students!D:D, "&gt;=0"))</f>
        <v/>
      </c>
      <c r="H650" s="4" t="str">
        <f t="shared" si="20"/>
        <v/>
      </c>
      <c r="I650" s="30" t="str">
        <f t="shared" si="21"/>
        <v/>
      </c>
    </row>
    <row r="651" spans="6:9" x14ac:dyDescent="0.2">
      <c r="F651" s="4" t="str">
        <f>IF(LEN(TRIM(A651))=0,"",COUNTIFS(Students!H:H, A651))</f>
        <v/>
      </c>
      <c r="G651" s="4" t="str">
        <f>IF(LEN(TRIM(A651))=0,"",COUNTIFS(Students!H:H, A651, Students!D:D, "&gt;=0"))</f>
        <v/>
      </c>
      <c r="H651" s="4" t="str">
        <f t="shared" si="20"/>
        <v/>
      </c>
      <c r="I651" s="30" t="str">
        <f t="shared" si="21"/>
        <v/>
      </c>
    </row>
    <row r="652" spans="6:9" x14ac:dyDescent="0.2">
      <c r="F652" s="4" t="str">
        <f>IF(LEN(TRIM(A652))=0,"",COUNTIFS(Students!H:H, A652))</f>
        <v/>
      </c>
      <c r="G652" s="4" t="str">
        <f>IF(LEN(TRIM(A652))=0,"",COUNTIFS(Students!H:H, A652, Students!D:D, "&gt;=0"))</f>
        <v/>
      </c>
      <c r="H652" s="4" t="str">
        <f t="shared" si="20"/>
        <v/>
      </c>
      <c r="I652" s="30" t="str">
        <f t="shared" si="21"/>
        <v/>
      </c>
    </row>
    <row r="653" spans="6:9" x14ac:dyDescent="0.2">
      <c r="F653" s="4" t="str">
        <f>IF(LEN(TRIM(A653))=0,"",COUNTIFS(Students!H:H, A653))</f>
        <v/>
      </c>
      <c r="G653" s="4" t="str">
        <f>IF(LEN(TRIM(A653))=0,"",COUNTIFS(Students!H:H, A653, Students!D:D, "&gt;=0"))</f>
        <v/>
      </c>
      <c r="H653" s="4" t="str">
        <f t="shared" si="20"/>
        <v/>
      </c>
      <c r="I653" s="30" t="str">
        <f t="shared" si="21"/>
        <v/>
      </c>
    </row>
    <row r="654" spans="6:9" x14ac:dyDescent="0.2">
      <c r="F654" s="4" t="str">
        <f>IF(LEN(TRIM(A654))=0,"",COUNTIFS(Students!H:H, A654))</f>
        <v/>
      </c>
      <c r="G654" s="4" t="str">
        <f>IF(LEN(TRIM(A654))=0,"",COUNTIFS(Students!H:H, A654, Students!D:D, "&gt;=0"))</f>
        <v/>
      </c>
      <c r="H654" s="4" t="str">
        <f t="shared" si="20"/>
        <v/>
      </c>
      <c r="I654" s="30" t="str">
        <f t="shared" si="21"/>
        <v/>
      </c>
    </row>
    <row r="655" spans="6:9" x14ac:dyDescent="0.2">
      <c r="F655" s="4" t="str">
        <f>IF(LEN(TRIM(A655))=0,"",COUNTIFS(Students!H:H, A655))</f>
        <v/>
      </c>
      <c r="G655" s="4" t="str">
        <f>IF(LEN(TRIM(A655))=0,"",COUNTIFS(Students!H:H, A655, Students!D:D, "&gt;=0"))</f>
        <v/>
      </c>
      <c r="H655" s="4" t="str">
        <f t="shared" si="20"/>
        <v/>
      </c>
      <c r="I655" s="30" t="str">
        <f t="shared" si="21"/>
        <v/>
      </c>
    </row>
    <row r="656" spans="6:9" x14ac:dyDescent="0.2">
      <c r="F656" s="4" t="str">
        <f>IF(LEN(TRIM(A656))=0,"",COUNTIFS(Students!H:H, A656))</f>
        <v/>
      </c>
      <c r="G656" s="4" t="str">
        <f>IF(LEN(TRIM(A656))=0,"",COUNTIFS(Students!H:H, A656, Students!D:D, "&gt;=0"))</f>
        <v/>
      </c>
      <c r="H656" s="4" t="str">
        <f t="shared" si="20"/>
        <v/>
      </c>
      <c r="I656" s="30" t="str">
        <f t="shared" si="21"/>
        <v/>
      </c>
    </row>
    <row r="657" spans="6:9" x14ac:dyDescent="0.2">
      <c r="F657" s="4" t="str">
        <f>IF(LEN(TRIM(A657))=0,"",COUNTIFS(Students!H:H, A657))</f>
        <v/>
      </c>
      <c r="G657" s="4" t="str">
        <f>IF(LEN(TRIM(A657))=0,"",COUNTIFS(Students!H:H, A657, Students!D:D, "&gt;=0"))</f>
        <v/>
      </c>
      <c r="H657" s="4" t="str">
        <f t="shared" si="20"/>
        <v/>
      </c>
      <c r="I657" s="30" t="str">
        <f t="shared" si="21"/>
        <v/>
      </c>
    </row>
    <row r="658" spans="6:9" x14ac:dyDescent="0.2">
      <c r="F658" s="4" t="str">
        <f>IF(LEN(TRIM(A658))=0,"",COUNTIFS(Students!H:H, A658))</f>
        <v/>
      </c>
      <c r="G658" s="4" t="str">
        <f>IF(LEN(TRIM(A658))=0,"",COUNTIFS(Students!H:H, A658, Students!D:D, "&gt;=0"))</f>
        <v/>
      </c>
      <c r="H658" s="4" t="str">
        <f t="shared" si="20"/>
        <v/>
      </c>
      <c r="I658" s="30" t="str">
        <f t="shared" si="21"/>
        <v/>
      </c>
    </row>
    <row r="659" spans="6:9" x14ac:dyDescent="0.2">
      <c r="F659" s="4" t="str">
        <f>IF(LEN(TRIM(A659))=0,"",COUNTIFS(Students!H:H, A659))</f>
        <v/>
      </c>
      <c r="G659" s="4" t="str">
        <f>IF(LEN(TRIM(A659))=0,"",COUNTIFS(Students!H:H, A659, Students!D:D, "&gt;=0"))</f>
        <v/>
      </c>
      <c r="H659" s="4" t="str">
        <f t="shared" si="20"/>
        <v/>
      </c>
      <c r="I659" s="30" t="str">
        <f t="shared" si="21"/>
        <v/>
      </c>
    </row>
    <row r="660" spans="6:9" x14ac:dyDescent="0.2">
      <c r="F660" s="4" t="str">
        <f>IF(LEN(TRIM(A660))=0,"",COUNTIFS(Students!H:H, A660))</f>
        <v/>
      </c>
      <c r="G660" s="4" t="str">
        <f>IF(LEN(TRIM(A660))=0,"",COUNTIFS(Students!H:H, A660, Students!D:D, "&gt;=0"))</f>
        <v/>
      </c>
      <c r="H660" s="4" t="str">
        <f t="shared" si="20"/>
        <v/>
      </c>
      <c r="I660" s="30" t="str">
        <f t="shared" si="21"/>
        <v/>
      </c>
    </row>
    <row r="661" spans="6:9" x14ac:dyDescent="0.2">
      <c r="F661" s="4" t="str">
        <f>IF(LEN(TRIM(A661))=0,"",COUNTIFS(Students!H:H, A661))</f>
        <v/>
      </c>
      <c r="G661" s="4" t="str">
        <f>IF(LEN(TRIM(A661))=0,"",COUNTIFS(Students!H:H, A661, Students!D:D, "&gt;=0"))</f>
        <v/>
      </c>
      <c r="H661" s="4" t="str">
        <f t="shared" si="20"/>
        <v/>
      </c>
      <c r="I661" s="30" t="str">
        <f t="shared" si="21"/>
        <v/>
      </c>
    </row>
    <row r="662" spans="6:9" x14ac:dyDescent="0.2">
      <c r="F662" s="4" t="str">
        <f>IF(LEN(TRIM(A662))=0,"",COUNTIFS(Students!H:H, A662))</f>
        <v/>
      </c>
      <c r="G662" s="4" t="str">
        <f>IF(LEN(TRIM(A662))=0,"",COUNTIFS(Students!H:H, A662, Students!D:D, "&gt;=0"))</f>
        <v/>
      </c>
      <c r="H662" s="4" t="str">
        <f t="shared" si="20"/>
        <v/>
      </c>
      <c r="I662" s="30" t="str">
        <f t="shared" si="21"/>
        <v/>
      </c>
    </row>
    <row r="663" spans="6:9" x14ac:dyDescent="0.2">
      <c r="F663" s="4" t="str">
        <f>IF(LEN(TRIM(A663))=0,"",COUNTIFS(Students!H:H, A663))</f>
        <v/>
      </c>
      <c r="G663" s="4" t="str">
        <f>IF(LEN(TRIM(A663))=0,"",COUNTIFS(Students!H:H, A663, Students!D:D, "&gt;=0"))</f>
        <v/>
      </c>
      <c r="H663" s="4" t="str">
        <f t="shared" si="20"/>
        <v/>
      </c>
      <c r="I663" s="30" t="str">
        <f t="shared" si="21"/>
        <v/>
      </c>
    </row>
    <row r="664" spans="6:9" x14ac:dyDescent="0.2">
      <c r="F664" s="4" t="str">
        <f>IF(LEN(TRIM(A664))=0,"",COUNTIFS(Students!H:H, A664))</f>
        <v/>
      </c>
      <c r="G664" s="4" t="str">
        <f>IF(LEN(TRIM(A664))=0,"",COUNTIFS(Students!H:H, A664, Students!D:D, "&gt;=0"))</f>
        <v/>
      </c>
      <c r="H664" s="4" t="str">
        <f t="shared" si="20"/>
        <v/>
      </c>
      <c r="I664" s="30" t="str">
        <f t="shared" si="21"/>
        <v/>
      </c>
    </row>
    <row r="665" spans="6:9" x14ac:dyDescent="0.2">
      <c r="F665" s="4" t="str">
        <f>IF(LEN(TRIM(A665))=0,"",COUNTIFS(Students!H:H, A665))</f>
        <v/>
      </c>
      <c r="G665" s="4" t="str">
        <f>IF(LEN(TRIM(A665))=0,"",COUNTIFS(Students!H:H, A665, Students!D:D, "&gt;=0"))</f>
        <v/>
      </c>
      <c r="H665" s="4" t="str">
        <f t="shared" si="20"/>
        <v/>
      </c>
      <c r="I665" s="30" t="str">
        <f t="shared" si="21"/>
        <v/>
      </c>
    </row>
    <row r="666" spans="6:9" x14ac:dyDescent="0.2">
      <c r="F666" s="4" t="str">
        <f>IF(LEN(TRIM(A666))=0,"",COUNTIFS(Students!H:H, A666))</f>
        <v/>
      </c>
      <c r="G666" s="4" t="str">
        <f>IF(LEN(TRIM(A666))=0,"",COUNTIFS(Students!H:H, A666, Students!D:D, "&gt;=0"))</f>
        <v/>
      </c>
      <c r="H666" s="4" t="str">
        <f t="shared" si="20"/>
        <v/>
      </c>
      <c r="I666" s="30" t="str">
        <f t="shared" si="21"/>
        <v/>
      </c>
    </row>
    <row r="667" spans="6:9" x14ac:dyDescent="0.2">
      <c r="F667" s="4" t="str">
        <f>IF(LEN(TRIM(A667))=0,"",COUNTIFS(Students!H:H, A667))</f>
        <v/>
      </c>
      <c r="G667" s="4" t="str">
        <f>IF(LEN(TRIM(A667))=0,"",COUNTIFS(Students!H:H, A667, Students!D:D, "&gt;=0"))</f>
        <v/>
      </c>
      <c r="H667" s="4" t="str">
        <f t="shared" si="20"/>
        <v/>
      </c>
      <c r="I667" s="30" t="str">
        <f t="shared" si="21"/>
        <v/>
      </c>
    </row>
    <row r="668" spans="6:9" x14ac:dyDescent="0.2">
      <c r="F668" s="4" t="str">
        <f>IF(LEN(TRIM(A668))=0,"",COUNTIFS(Students!H:H, A668))</f>
        <v/>
      </c>
      <c r="G668" s="4" t="str">
        <f>IF(LEN(TRIM(A668))=0,"",COUNTIFS(Students!H:H, A668, Students!D:D, "&gt;=0"))</f>
        <v/>
      </c>
      <c r="H668" s="4" t="str">
        <f t="shared" si="20"/>
        <v/>
      </c>
      <c r="I668" s="30" t="str">
        <f t="shared" si="21"/>
        <v/>
      </c>
    </row>
    <row r="669" spans="6:9" x14ac:dyDescent="0.2">
      <c r="F669" s="4" t="str">
        <f>IF(LEN(TRIM(A669))=0,"",COUNTIFS(Students!H:H, A669))</f>
        <v/>
      </c>
      <c r="G669" s="4" t="str">
        <f>IF(LEN(TRIM(A669))=0,"",COUNTIFS(Students!H:H, A669, Students!D:D, "&gt;=0"))</f>
        <v/>
      </c>
      <c r="H669" s="4" t="str">
        <f t="shared" si="20"/>
        <v/>
      </c>
      <c r="I669" s="30" t="str">
        <f t="shared" si="21"/>
        <v/>
      </c>
    </row>
    <row r="670" spans="6:9" x14ac:dyDescent="0.2">
      <c r="F670" s="4" t="str">
        <f>IF(LEN(TRIM(A670))=0,"",COUNTIFS(Students!H:H, A670))</f>
        <v/>
      </c>
      <c r="G670" s="4" t="str">
        <f>IF(LEN(TRIM(A670))=0,"",COUNTIFS(Students!H:H, A670, Students!D:D, "&gt;=0"))</f>
        <v/>
      </c>
      <c r="H670" s="4" t="str">
        <f t="shared" si="20"/>
        <v/>
      </c>
      <c r="I670" s="30" t="str">
        <f t="shared" si="21"/>
        <v/>
      </c>
    </row>
    <row r="671" spans="6:9" x14ac:dyDescent="0.2">
      <c r="F671" s="4" t="str">
        <f>IF(LEN(TRIM(A671))=0,"",COUNTIFS(Students!H:H, A671))</f>
        <v/>
      </c>
      <c r="G671" s="4" t="str">
        <f>IF(LEN(TRIM(A671))=0,"",COUNTIFS(Students!H:H, A671, Students!D:D, "&gt;=0"))</f>
        <v/>
      </c>
      <c r="H671" s="4" t="str">
        <f t="shared" si="20"/>
        <v/>
      </c>
      <c r="I671" s="30" t="str">
        <f t="shared" si="21"/>
        <v/>
      </c>
    </row>
    <row r="672" spans="6:9" x14ac:dyDescent="0.2">
      <c r="F672" s="4" t="str">
        <f>IF(LEN(TRIM(A672))=0,"",COUNTIFS(Students!H:H, A672))</f>
        <v/>
      </c>
      <c r="G672" s="4" t="str">
        <f>IF(LEN(TRIM(A672))=0,"",COUNTIFS(Students!H:H, A672, Students!D:D, "&gt;=0"))</f>
        <v/>
      </c>
      <c r="H672" s="4" t="str">
        <f t="shared" si="20"/>
        <v/>
      </c>
      <c r="I672" s="30" t="str">
        <f t="shared" si="21"/>
        <v/>
      </c>
    </row>
    <row r="673" spans="6:9" x14ac:dyDescent="0.2">
      <c r="F673" s="4" t="str">
        <f>IF(LEN(TRIM(A673))=0,"",COUNTIFS(Students!H:H, A673))</f>
        <v/>
      </c>
      <c r="G673" s="4" t="str">
        <f>IF(LEN(TRIM(A673))=0,"",COUNTIFS(Students!H:H, A673, Students!D:D, "&gt;=0"))</f>
        <v/>
      </c>
      <c r="H673" s="4" t="str">
        <f t="shared" si="20"/>
        <v/>
      </c>
      <c r="I673" s="30" t="str">
        <f t="shared" si="21"/>
        <v/>
      </c>
    </row>
    <row r="674" spans="6:9" x14ac:dyDescent="0.2">
      <c r="F674" s="4" t="str">
        <f>IF(LEN(TRIM(A674))=0,"",COUNTIFS(Students!H:H, A674))</f>
        <v/>
      </c>
      <c r="G674" s="4" t="str">
        <f>IF(LEN(TRIM(A674))=0,"",COUNTIFS(Students!H:H, A674, Students!D:D, "&gt;=0"))</f>
        <v/>
      </c>
      <c r="H674" s="4" t="str">
        <f t="shared" si="20"/>
        <v/>
      </c>
      <c r="I674" s="30" t="str">
        <f t="shared" si="21"/>
        <v/>
      </c>
    </row>
    <row r="675" spans="6:9" x14ac:dyDescent="0.2">
      <c r="F675" s="4" t="str">
        <f>IF(LEN(TRIM(A675))=0,"",COUNTIFS(Students!H:H, A675))</f>
        <v/>
      </c>
      <c r="G675" s="4" t="str">
        <f>IF(LEN(TRIM(A675))=0,"",COUNTIFS(Students!H:H, A675, Students!D:D, "&gt;=0"))</f>
        <v/>
      </c>
      <c r="H675" s="4" t="str">
        <f t="shared" si="20"/>
        <v/>
      </c>
      <c r="I675" s="30" t="str">
        <f t="shared" si="21"/>
        <v/>
      </c>
    </row>
    <row r="676" spans="6:9" x14ac:dyDescent="0.2">
      <c r="F676" s="4" t="str">
        <f>IF(LEN(TRIM(A676))=0,"",COUNTIFS(Students!H:H, A676))</f>
        <v/>
      </c>
      <c r="G676" s="4" t="str">
        <f>IF(LEN(TRIM(A676))=0,"",COUNTIFS(Students!H:H, A676, Students!D:D, "&gt;=0"))</f>
        <v/>
      </c>
      <c r="H676" s="4" t="str">
        <f t="shared" si="20"/>
        <v/>
      </c>
      <c r="I676" s="30" t="str">
        <f t="shared" si="21"/>
        <v/>
      </c>
    </row>
    <row r="677" spans="6:9" x14ac:dyDescent="0.2">
      <c r="F677" s="4" t="str">
        <f>IF(LEN(TRIM(A677))=0,"",COUNTIFS(Students!H:H, A677))</f>
        <v/>
      </c>
      <c r="G677" s="4" t="str">
        <f>IF(LEN(TRIM(A677))=0,"",COUNTIFS(Students!H:H, A677, Students!D:D, "&gt;=0"))</f>
        <v/>
      </c>
      <c r="H677" s="4" t="str">
        <f t="shared" si="20"/>
        <v/>
      </c>
      <c r="I677" s="30" t="str">
        <f t="shared" si="21"/>
        <v/>
      </c>
    </row>
    <row r="678" spans="6:9" x14ac:dyDescent="0.2">
      <c r="F678" s="4" t="str">
        <f>IF(LEN(TRIM(A678))=0,"",COUNTIFS(Students!H:H, A678))</f>
        <v/>
      </c>
      <c r="G678" s="4" t="str">
        <f>IF(LEN(TRIM(A678))=0,"",COUNTIFS(Students!H:H, A678, Students!D:D, "&gt;=0"))</f>
        <v/>
      </c>
      <c r="H678" s="4" t="str">
        <f t="shared" si="20"/>
        <v/>
      </c>
      <c r="I678" s="30" t="str">
        <f t="shared" si="21"/>
        <v/>
      </c>
    </row>
    <row r="679" spans="6:9" x14ac:dyDescent="0.2">
      <c r="F679" s="4" t="str">
        <f>IF(LEN(TRIM(A679))=0,"",COUNTIFS(Students!H:H, A679))</f>
        <v/>
      </c>
      <c r="G679" s="4" t="str">
        <f>IF(LEN(TRIM(A679))=0,"",COUNTIFS(Students!H:H, A679, Students!D:D, "&gt;=0"))</f>
        <v/>
      </c>
      <c r="H679" s="4" t="str">
        <f t="shared" si="20"/>
        <v/>
      </c>
      <c r="I679" s="30" t="str">
        <f t="shared" si="21"/>
        <v/>
      </c>
    </row>
    <row r="680" spans="6:9" x14ac:dyDescent="0.2">
      <c r="F680" s="4" t="str">
        <f>IF(LEN(TRIM(A680))=0,"",COUNTIFS(Students!H:H, A680))</f>
        <v/>
      </c>
      <c r="G680" s="4" t="str">
        <f>IF(LEN(TRIM(A680))=0,"",COUNTIFS(Students!H:H, A680, Students!D:D, "&gt;=0"))</f>
        <v/>
      </c>
      <c r="H680" s="4" t="str">
        <f t="shared" si="20"/>
        <v/>
      </c>
      <c r="I680" s="30" t="str">
        <f t="shared" si="21"/>
        <v/>
      </c>
    </row>
    <row r="681" spans="6:9" x14ac:dyDescent="0.2">
      <c r="F681" s="4" t="str">
        <f>IF(LEN(TRIM(A681))=0,"",COUNTIFS(Students!H:H, A681))</f>
        <v/>
      </c>
      <c r="G681" s="4" t="str">
        <f>IF(LEN(TRIM(A681))=0,"",COUNTIFS(Students!H:H, A681, Students!D:D, "&gt;=0"))</f>
        <v/>
      </c>
      <c r="H681" s="4" t="str">
        <f t="shared" si="20"/>
        <v/>
      </c>
      <c r="I681" s="30" t="str">
        <f t="shared" si="21"/>
        <v/>
      </c>
    </row>
    <row r="682" spans="6:9" x14ac:dyDescent="0.2">
      <c r="F682" s="4" t="str">
        <f>IF(LEN(TRIM(A682))=0,"",COUNTIFS(Students!H:H, A682))</f>
        <v/>
      </c>
      <c r="G682" s="4" t="str">
        <f>IF(LEN(TRIM(A682))=0,"",COUNTIFS(Students!H:H, A682, Students!D:D, "&gt;=0"))</f>
        <v/>
      </c>
      <c r="H682" s="4" t="str">
        <f t="shared" si="20"/>
        <v/>
      </c>
      <c r="I682" s="30" t="str">
        <f t="shared" si="21"/>
        <v/>
      </c>
    </row>
    <row r="683" spans="6:9" x14ac:dyDescent="0.2">
      <c r="F683" s="4" t="str">
        <f>IF(LEN(TRIM(A683))=0,"",COUNTIFS(Students!H:H, A683))</f>
        <v/>
      </c>
      <c r="G683" s="4" t="str">
        <f>IF(LEN(TRIM(A683))=0,"",COUNTIFS(Students!H:H, A683, Students!D:D, "&gt;=0"))</f>
        <v/>
      </c>
      <c r="H683" s="4" t="str">
        <f t="shared" si="20"/>
        <v/>
      </c>
      <c r="I683" s="30" t="str">
        <f t="shared" si="21"/>
        <v/>
      </c>
    </row>
    <row r="684" spans="6:9" x14ac:dyDescent="0.2">
      <c r="F684" s="4" t="str">
        <f>IF(LEN(TRIM(A684))=0,"",COUNTIFS(Students!H:H, A684))</f>
        <v/>
      </c>
      <c r="G684" s="4" t="str">
        <f>IF(LEN(TRIM(A684))=0,"",COUNTIFS(Students!H:H, A684, Students!D:D, "&gt;=0"))</f>
        <v/>
      </c>
      <c r="H684" s="4" t="str">
        <f t="shared" si="20"/>
        <v/>
      </c>
      <c r="I684" s="30" t="str">
        <f t="shared" si="21"/>
        <v/>
      </c>
    </row>
    <row r="685" spans="6:9" x14ac:dyDescent="0.2">
      <c r="F685" s="4" t="str">
        <f>IF(LEN(TRIM(A685))=0,"",COUNTIFS(Students!H:H, A685))</f>
        <v/>
      </c>
      <c r="G685" s="4" t="str">
        <f>IF(LEN(TRIM(A685))=0,"",COUNTIFS(Students!H:H, A685, Students!D:D, "&gt;=0"))</f>
        <v/>
      </c>
      <c r="H685" s="4" t="str">
        <f t="shared" si="20"/>
        <v/>
      </c>
      <c r="I685" s="30" t="str">
        <f t="shared" si="21"/>
        <v/>
      </c>
    </row>
    <row r="686" spans="6:9" x14ac:dyDescent="0.2">
      <c r="F686" s="4" t="str">
        <f>IF(LEN(TRIM(A686))=0,"",COUNTIFS(Students!H:H, A686))</f>
        <v/>
      </c>
      <c r="G686" s="4" t="str">
        <f>IF(LEN(TRIM(A686))=0,"",COUNTIFS(Students!H:H, A686, Students!D:D, "&gt;=0"))</f>
        <v/>
      </c>
      <c r="H686" s="4" t="str">
        <f t="shared" si="20"/>
        <v/>
      </c>
      <c r="I686" s="30" t="str">
        <f t="shared" si="21"/>
        <v/>
      </c>
    </row>
    <row r="687" spans="6:9" x14ac:dyDescent="0.2">
      <c r="F687" s="4" t="str">
        <f>IF(LEN(TRIM(A687))=0,"",COUNTIFS(Students!H:H, A687))</f>
        <v/>
      </c>
      <c r="G687" s="4" t="str">
        <f>IF(LEN(TRIM(A687))=0,"",COUNTIFS(Students!H:H, A687, Students!D:D, "&gt;=0"))</f>
        <v/>
      </c>
      <c r="H687" s="4" t="str">
        <f t="shared" si="20"/>
        <v/>
      </c>
      <c r="I687" s="30" t="str">
        <f t="shared" si="21"/>
        <v/>
      </c>
    </row>
    <row r="688" spans="6:9" x14ac:dyDescent="0.2">
      <c r="F688" s="4" t="str">
        <f>IF(LEN(TRIM(A688))=0,"",COUNTIFS(Students!H:H, A688))</f>
        <v/>
      </c>
      <c r="G688" s="4" t="str">
        <f>IF(LEN(TRIM(A688))=0,"",COUNTIFS(Students!H:H, A688, Students!D:D, "&gt;=0"))</f>
        <v/>
      </c>
      <c r="H688" s="4" t="str">
        <f t="shared" si="20"/>
        <v/>
      </c>
      <c r="I688" s="30" t="str">
        <f t="shared" si="21"/>
        <v/>
      </c>
    </row>
    <row r="689" spans="6:9" x14ac:dyDescent="0.2">
      <c r="F689" s="4" t="str">
        <f>IF(LEN(TRIM(A689))=0,"",COUNTIFS(Students!H:H, A689))</f>
        <v/>
      </c>
      <c r="G689" s="4" t="str">
        <f>IF(LEN(TRIM(A689))=0,"",COUNTIFS(Students!H:H, A689, Students!D:D, "&gt;=0"))</f>
        <v/>
      </c>
      <c r="H689" s="4" t="str">
        <f t="shared" si="20"/>
        <v/>
      </c>
      <c r="I689" s="30" t="str">
        <f t="shared" si="21"/>
        <v/>
      </c>
    </row>
    <row r="690" spans="6:9" x14ac:dyDescent="0.2">
      <c r="F690" s="4" t="str">
        <f>IF(LEN(TRIM(A690))=0,"",COUNTIFS(Students!H:H, A690))</f>
        <v/>
      </c>
      <c r="G690" s="4" t="str">
        <f>IF(LEN(TRIM(A690))=0,"",COUNTIFS(Students!H:H, A690, Students!D:D, "&gt;=0"))</f>
        <v/>
      </c>
      <c r="H690" s="4" t="str">
        <f t="shared" si="20"/>
        <v/>
      </c>
      <c r="I690" s="30" t="str">
        <f t="shared" si="21"/>
        <v/>
      </c>
    </row>
    <row r="691" spans="6:9" x14ac:dyDescent="0.2">
      <c r="F691" s="4" t="str">
        <f>IF(LEN(TRIM(A691))=0,"",COUNTIFS(Students!H:H, A691))</f>
        <v/>
      </c>
      <c r="G691" s="4" t="str">
        <f>IF(LEN(TRIM(A691))=0,"",COUNTIFS(Students!H:H, A691, Students!D:D, "&gt;=0"))</f>
        <v/>
      </c>
      <c r="H691" s="4" t="str">
        <f t="shared" si="20"/>
        <v/>
      </c>
      <c r="I691" s="30" t="str">
        <f t="shared" si="21"/>
        <v/>
      </c>
    </row>
    <row r="692" spans="6:9" x14ac:dyDescent="0.2">
      <c r="F692" s="4" t="str">
        <f>IF(LEN(TRIM(A692))=0,"",COUNTIFS(Students!H:H, A692))</f>
        <v/>
      </c>
      <c r="G692" s="4" t="str">
        <f>IF(LEN(TRIM(A692))=0,"",COUNTIFS(Students!H:H, A692, Students!D:D, "&gt;=0"))</f>
        <v/>
      </c>
      <c r="H692" s="4" t="str">
        <f t="shared" si="20"/>
        <v/>
      </c>
      <c r="I692" s="30" t="str">
        <f t="shared" si="21"/>
        <v/>
      </c>
    </row>
    <row r="693" spans="6:9" x14ac:dyDescent="0.2">
      <c r="F693" s="4" t="str">
        <f>IF(LEN(TRIM(A693))=0,"",COUNTIFS(Students!H:H, A693))</f>
        <v/>
      </c>
      <c r="G693" s="4" t="str">
        <f>IF(LEN(TRIM(A693))=0,"",COUNTIFS(Students!H:H, A693, Students!D:D, "&gt;=0"))</f>
        <v/>
      </c>
      <c r="H693" s="4" t="str">
        <f t="shared" si="20"/>
        <v/>
      </c>
      <c r="I693" s="30" t="str">
        <f t="shared" si="21"/>
        <v/>
      </c>
    </row>
    <row r="694" spans="6:9" x14ac:dyDescent="0.2">
      <c r="F694" s="4" t="str">
        <f>IF(LEN(TRIM(A694))=0,"",COUNTIFS(Students!H:H, A694))</f>
        <v/>
      </c>
      <c r="G694" s="4" t="str">
        <f>IF(LEN(TRIM(A694))=0,"",COUNTIFS(Students!H:H, A694, Students!D:D, "&gt;=0"))</f>
        <v/>
      </c>
      <c r="H694" s="4" t="str">
        <f t="shared" si="20"/>
        <v/>
      </c>
      <c r="I694" s="30" t="str">
        <f t="shared" si="21"/>
        <v/>
      </c>
    </row>
    <row r="695" spans="6:9" x14ac:dyDescent="0.2">
      <c r="F695" s="4" t="str">
        <f>IF(LEN(TRIM(A695))=0,"",COUNTIFS(Students!H:H, A695))</f>
        <v/>
      </c>
      <c r="G695" s="4" t="str">
        <f>IF(LEN(TRIM(A695))=0,"",COUNTIFS(Students!H:H, A695, Students!D:D, "&gt;=0"))</f>
        <v/>
      </c>
      <c r="H695" s="4" t="str">
        <f t="shared" si="20"/>
        <v/>
      </c>
      <c r="I695" s="30" t="str">
        <f t="shared" si="21"/>
        <v/>
      </c>
    </row>
    <row r="696" spans="6:9" x14ac:dyDescent="0.2">
      <c r="F696" s="4" t="str">
        <f>IF(LEN(TRIM(A696))=0,"",COUNTIFS(Students!H:H, A696))</f>
        <v/>
      </c>
      <c r="G696" s="4" t="str">
        <f>IF(LEN(TRIM(A696))=0,"",COUNTIFS(Students!H:H, A696, Students!D:D, "&gt;=0"))</f>
        <v/>
      </c>
      <c r="H696" s="4" t="str">
        <f t="shared" si="20"/>
        <v/>
      </c>
      <c r="I696" s="30" t="str">
        <f t="shared" si="21"/>
        <v/>
      </c>
    </row>
    <row r="697" spans="6:9" x14ac:dyDescent="0.2">
      <c r="F697" s="4" t="str">
        <f>IF(LEN(TRIM(A697))=0,"",COUNTIFS(Students!H:H, A697))</f>
        <v/>
      </c>
      <c r="G697" s="4" t="str">
        <f>IF(LEN(TRIM(A697))=0,"",COUNTIFS(Students!H:H, A697, Students!D:D, "&gt;=0"))</f>
        <v/>
      </c>
      <c r="H697" s="4" t="str">
        <f t="shared" si="20"/>
        <v/>
      </c>
      <c r="I697" s="30" t="str">
        <f t="shared" si="21"/>
        <v/>
      </c>
    </row>
    <row r="698" spans="6:9" x14ac:dyDescent="0.2">
      <c r="F698" s="4" t="str">
        <f>IF(LEN(TRIM(A698))=0,"",COUNTIFS(Students!H:H, A698))</f>
        <v/>
      </c>
      <c r="G698" s="4" t="str">
        <f>IF(LEN(TRIM(A698))=0,"",COUNTIFS(Students!H:H, A698, Students!D:D, "&gt;=0"))</f>
        <v/>
      </c>
      <c r="H698" s="4" t="str">
        <f t="shared" si="20"/>
        <v/>
      </c>
      <c r="I698" s="30" t="str">
        <f t="shared" si="21"/>
        <v/>
      </c>
    </row>
    <row r="699" spans="6:9" x14ac:dyDescent="0.2">
      <c r="F699" s="4" t="str">
        <f>IF(LEN(TRIM(A699))=0,"",COUNTIFS(Students!H:H, A699))</f>
        <v/>
      </c>
      <c r="G699" s="4" t="str">
        <f>IF(LEN(TRIM(A699))=0,"",COUNTIFS(Students!H:H, A699, Students!D:D, "&gt;=0"))</f>
        <v/>
      </c>
      <c r="H699" s="4" t="str">
        <f t="shared" si="20"/>
        <v/>
      </c>
      <c r="I699" s="30" t="str">
        <f t="shared" si="21"/>
        <v/>
      </c>
    </row>
    <row r="700" spans="6:9" x14ac:dyDescent="0.2">
      <c r="F700" s="4" t="str">
        <f>IF(LEN(TRIM(A700))=0,"",COUNTIFS(Students!H:H, A700))</f>
        <v/>
      </c>
      <c r="G700" s="4" t="str">
        <f>IF(LEN(TRIM(A700))=0,"",COUNTIFS(Students!H:H, A700, Students!D:D, "&gt;=0"))</f>
        <v/>
      </c>
      <c r="H700" s="4" t="str">
        <f t="shared" si="20"/>
        <v/>
      </c>
      <c r="I700" s="30" t="str">
        <f t="shared" si="21"/>
        <v/>
      </c>
    </row>
    <row r="701" spans="6:9" x14ac:dyDescent="0.2">
      <c r="F701" s="4" t="str">
        <f>IF(LEN(TRIM(A701))=0,"",COUNTIFS(Students!H:H, A701))</f>
        <v/>
      </c>
      <c r="G701" s="4" t="str">
        <f>IF(LEN(TRIM(A701))=0,"",COUNTIFS(Students!H:H, A701, Students!D:D, "&gt;=0"))</f>
        <v/>
      </c>
      <c r="H701" s="4" t="str">
        <f t="shared" si="20"/>
        <v/>
      </c>
      <c r="I701" s="30" t="str">
        <f t="shared" si="21"/>
        <v/>
      </c>
    </row>
    <row r="702" spans="6:9" x14ac:dyDescent="0.2">
      <c r="F702" s="4" t="str">
        <f>IF(LEN(TRIM(A702))=0,"",COUNTIFS(Students!H:H, A702))</f>
        <v/>
      </c>
      <c r="G702" s="4" t="str">
        <f>IF(LEN(TRIM(A702))=0,"",COUNTIFS(Students!H:H, A702, Students!D:D, "&gt;=0"))</f>
        <v/>
      </c>
      <c r="H702" s="4" t="str">
        <f t="shared" si="20"/>
        <v/>
      </c>
      <c r="I702" s="30" t="str">
        <f t="shared" si="21"/>
        <v/>
      </c>
    </row>
    <row r="703" spans="6:9" x14ac:dyDescent="0.2">
      <c r="F703" s="4" t="str">
        <f>IF(LEN(TRIM(A703))=0,"",COUNTIFS(Students!H:H, A703))</f>
        <v/>
      </c>
      <c r="G703" s="4" t="str">
        <f>IF(LEN(TRIM(A703))=0,"",COUNTIFS(Students!H:H, A703, Students!D:D, "&gt;=0"))</f>
        <v/>
      </c>
      <c r="H703" s="4" t="str">
        <f t="shared" si="20"/>
        <v/>
      </c>
      <c r="I703" s="30" t="str">
        <f t="shared" si="21"/>
        <v/>
      </c>
    </row>
    <row r="704" spans="6:9" x14ac:dyDescent="0.2">
      <c r="F704" s="4" t="str">
        <f>IF(LEN(TRIM(A704))=0,"",COUNTIFS(Students!H:H, A704))</f>
        <v/>
      </c>
      <c r="G704" s="4" t="str">
        <f>IF(LEN(TRIM(A704))=0,"",COUNTIFS(Students!H:H, A704, Students!D:D, "&gt;=0"))</f>
        <v/>
      </c>
      <c r="H704" s="4" t="str">
        <f t="shared" si="20"/>
        <v/>
      </c>
      <c r="I704" s="30" t="str">
        <f t="shared" si="21"/>
        <v/>
      </c>
    </row>
    <row r="705" spans="6:9" x14ac:dyDescent="0.2">
      <c r="F705" s="4" t="str">
        <f>IF(LEN(TRIM(A705))=0,"",COUNTIFS(Students!H:H, A705))</f>
        <v/>
      </c>
      <c r="G705" s="4" t="str">
        <f>IF(LEN(TRIM(A705))=0,"",COUNTIFS(Students!H:H, A705, Students!D:D, "&gt;=0"))</f>
        <v/>
      </c>
      <c r="H705" s="4" t="str">
        <f t="shared" si="20"/>
        <v/>
      </c>
      <c r="I705" s="30" t="str">
        <f t="shared" si="21"/>
        <v/>
      </c>
    </row>
    <row r="706" spans="6:9" x14ac:dyDescent="0.2">
      <c r="F706" s="4" t="str">
        <f>IF(LEN(TRIM(A706))=0,"",COUNTIFS(Students!H:H, A706))</f>
        <v/>
      </c>
      <c r="G706" s="4" t="str">
        <f>IF(LEN(TRIM(A706))=0,"",COUNTIFS(Students!H:H, A706, Students!D:D, "&gt;=0"))</f>
        <v/>
      </c>
      <c r="H706" s="4" t="str">
        <f t="shared" si="20"/>
        <v/>
      </c>
      <c r="I706" s="30" t="str">
        <f t="shared" si="21"/>
        <v/>
      </c>
    </row>
    <row r="707" spans="6:9" x14ac:dyDescent="0.2">
      <c r="F707" s="4" t="str">
        <f>IF(LEN(TRIM(A707))=0,"",COUNTIFS(Students!H:H, A707))</f>
        <v/>
      </c>
      <c r="G707" s="4" t="str">
        <f>IF(LEN(TRIM(A707))=0,"",COUNTIFS(Students!H:H, A707, Students!D:D, "&gt;=0"))</f>
        <v/>
      </c>
      <c r="H707" s="4" t="str">
        <f t="shared" ref="H707:H770" si="22">IFERROR(F707-G707,"")</f>
        <v/>
      </c>
      <c r="I707" s="30" t="str">
        <f t="shared" ref="I707:I770" si="23">IFERROR(IF(F707=0, "N/A", G707/F707),"")</f>
        <v/>
      </c>
    </row>
    <row r="708" spans="6:9" x14ac:dyDescent="0.2">
      <c r="F708" s="4" t="str">
        <f>IF(LEN(TRIM(A708))=0,"",COUNTIFS(Students!H:H, A708))</f>
        <v/>
      </c>
      <c r="G708" s="4" t="str">
        <f>IF(LEN(TRIM(A708))=0,"",COUNTIFS(Students!H:H, A708, Students!D:D, "&gt;=0"))</f>
        <v/>
      </c>
      <c r="H708" s="4" t="str">
        <f t="shared" si="22"/>
        <v/>
      </c>
      <c r="I708" s="30" t="str">
        <f t="shared" si="23"/>
        <v/>
      </c>
    </row>
    <row r="709" spans="6:9" x14ac:dyDescent="0.2">
      <c r="F709" s="4" t="str">
        <f>IF(LEN(TRIM(A709))=0,"",COUNTIFS(Students!H:H, A709))</f>
        <v/>
      </c>
      <c r="G709" s="4" t="str">
        <f>IF(LEN(TRIM(A709))=0,"",COUNTIFS(Students!H:H, A709, Students!D:D, "&gt;=0"))</f>
        <v/>
      </c>
      <c r="H709" s="4" t="str">
        <f t="shared" si="22"/>
        <v/>
      </c>
      <c r="I709" s="30" t="str">
        <f t="shared" si="23"/>
        <v/>
      </c>
    </row>
    <row r="710" spans="6:9" x14ac:dyDescent="0.2">
      <c r="F710" s="4" t="str">
        <f>IF(LEN(TRIM(A710))=0,"",COUNTIFS(Students!H:H, A710))</f>
        <v/>
      </c>
      <c r="G710" s="4" t="str">
        <f>IF(LEN(TRIM(A710))=0,"",COUNTIFS(Students!H:H, A710, Students!D:D, "&gt;=0"))</f>
        <v/>
      </c>
      <c r="H710" s="4" t="str">
        <f t="shared" si="22"/>
        <v/>
      </c>
      <c r="I710" s="30" t="str">
        <f t="shared" si="23"/>
        <v/>
      </c>
    </row>
    <row r="711" spans="6:9" x14ac:dyDescent="0.2">
      <c r="F711" s="4" t="str">
        <f>IF(LEN(TRIM(A711))=0,"",COUNTIFS(Students!H:H, A711))</f>
        <v/>
      </c>
      <c r="G711" s="4" t="str">
        <f>IF(LEN(TRIM(A711))=0,"",COUNTIFS(Students!H:H, A711, Students!D:D, "&gt;=0"))</f>
        <v/>
      </c>
      <c r="H711" s="4" t="str">
        <f t="shared" si="22"/>
        <v/>
      </c>
      <c r="I711" s="30" t="str">
        <f t="shared" si="23"/>
        <v/>
      </c>
    </row>
    <row r="712" spans="6:9" x14ac:dyDescent="0.2">
      <c r="F712" s="4" t="str">
        <f>IF(LEN(TRIM(A712))=0,"",COUNTIFS(Students!H:H, A712))</f>
        <v/>
      </c>
      <c r="G712" s="4" t="str">
        <f>IF(LEN(TRIM(A712))=0,"",COUNTIFS(Students!H:H, A712, Students!D:D, "&gt;=0"))</f>
        <v/>
      </c>
      <c r="H712" s="4" t="str">
        <f t="shared" si="22"/>
        <v/>
      </c>
      <c r="I712" s="30" t="str">
        <f t="shared" si="23"/>
        <v/>
      </c>
    </row>
    <row r="713" spans="6:9" x14ac:dyDescent="0.2">
      <c r="F713" s="4" t="str">
        <f>IF(LEN(TRIM(A713))=0,"",COUNTIFS(Students!H:H, A713))</f>
        <v/>
      </c>
      <c r="G713" s="4" t="str">
        <f>IF(LEN(TRIM(A713))=0,"",COUNTIFS(Students!H:H, A713, Students!D:D, "&gt;=0"))</f>
        <v/>
      </c>
      <c r="H713" s="4" t="str">
        <f t="shared" si="22"/>
        <v/>
      </c>
      <c r="I713" s="30" t="str">
        <f t="shared" si="23"/>
        <v/>
      </c>
    </row>
    <row r="714" spans="6:9" x14ac:dyDescent="0.2">
      <c r="F714" s="4" t="str">
        <f>IF(LEN(TRIM(A714))=0,"",COUNTIFS(Students!H:H, A714))</f>
        <v/>
      </c>
      <c r="G714" s="4" t="str">
        <f>IF(LEN(TRIM(A714))=0,"",COUNTIFS(Students!H:H, A714, Students!D:D, "&gt;=0"))</f>
        <v/>
      </c>
      <c r="H714" s="4" t="str">
        <f t="shared" si="22"/>
        <v/>
      </c>
      <c r="I714" s="30" t="str">
        <f t="shared" si="23"/>
        <v/>
      </c>
    </row>
    <row r="715" spans="6:9" x14ac:dyDescent="0.2">
      <c r="F715" s="4" t="str">
        <f>IF(LEN(TRIM(A715))=0,"",COUNTIFS(Students!H:H, A715))</f>
        <v/>
      </c>
      <c r="G715" s="4" t="str">
        <f>IF(LEN(TRIM(A715))=0,"",COUNTIFS(Students!H:H, A715, Students!D:D, "&gt;=0"))</f>
        <v/>
      </c>
      <c r="H715" s="4" t="str">
        <f t="shared" si="22"/>
        <v/>
      </c>
      <c r="I715" s="30" t="str">
        <f t="shared" si="23"/>
        <v/>
      </c>
    </row>
    <row r="716" spans="6:9" x14ac:dyDescent="0.2">
      <c r="F716" s="4" t="str">
        <f>IF(LEN(TRIM(A716))=0,"",COUNTIFS(Students!H:H, A716))</f>
        <v/>
      </c>
      <c r="G716" s="4" t="str">
        <f>IF(LEN(TRIM(A716))=0,"",COUNTIFS(Students!H:H, A716, Students!D:D, "&gt;=0"))</f>
        <v/>
      </c>
      <c r="H716" s="4" t="str">
        <f t="shared" si="22"/>
        <v/>
      </c>
      <c r="I716" s="30" t="str">
        <f t="shared" si="23"/>
        <v/>
      </c>
    </row>
    <row r="717" spans="6:9" x14ac:dyDescent="0.2">
      <c r="F717" s="4" t="str">
        <f>IF(LEN(TRIM(A717))=0,"",COUNTIFS(Students!H:H, A717))</f>
        <v/>
      </c>
      <c r="G717" s="4" t="str">
        <f>IF(LEN(TRIM(A717))=0,"",COUNTIFS(Students!H:H, A717, Students!D:D, "&gt;=0"))</f>
        <v/>
      </c>
      <c r="H717" s="4" t="str">
        <f t="shared" si="22"/>
        <v/>
      </c>
      <c r="I717" s="30" t="str">
        <f t="shared" si="23"/>
        <v/>
      </c>
    </row>
    <row r="718" spans="6:9" x14ac:dyDescent="0.2">
      <c r="F718" s="4" t="str">
        <f>IF(LEN(TRIM(A718))=0,"",COUNTIFS(Students!H:H, A718))</f>
        <v/>
      </c>
      <c r="G718" s="4" t="str">
        <f>IF(LEN(TRIM(A718))=0,"",COUNTIFS(Students!H:H, A718, Students!D:D, "&gt;=0"))</f>
        <v/>
      </c>
      <c r="H718" s="4" t="str">
        <f t="shared" si="22"/>
        <v/>
      </c>
      <c r="I718" s="30" t="str">
        <f t="shared" si="23"/>
        <v/>
      </c>
    </row>
    <row r="719" spans="6:9" x14ac:dyDescent="0.2">
      <c r="F719" s="4" t="str">
        <f>IF(LEN(TRIM(A719))=0,"",COUNTIFS(Students!H:H, A719))</f>
        <v/>
      </c>
      <c r="G719" s="4" t="str">
        <f>IF(LEN(TRIM(A719))=0,"",COUNTIFS(Students!H:H, A719, Students!D:D, "&gt;=0"))</f>
        <v/>
      </c>
      <c r="H719" s="4" t="str">
        <f t="shared" si="22"/>
        <v/>
      </c>
      <c r="I719" s="30" t="str">
        <f t="shared" si="23"/>
        <v/>
      </c>
    </row>
    <row r="720" spans="6:9" x14ac:dyDescent="0.2">
      <c r="F720" s="4" t="str">
        <f>IF(LEN(TRIM(A720))=0,"",COUNTIFS(Students!H:H, A720))</f>
        <v/>
      </c>
      <c r="G720" s="4" t="str">
        <f>IF(LEN(TRIM(A720))=0,"",COUNTIFS(Students!H:H, A720, Students!D:D, "&gt;=0"))</f>
        <v/>
      </c>
      <c r="H720" s="4" t="str">
        <f t="shared" si="22"/>
        <v/>
      </c>
      <c r="I720" s="30" t="str">
        <f t="shared" si="23"/>
        <v/>
      </c>
    </row>
    <row r="721" spans="6:9" x14ac:dyDescent="0.2">
      <c r="F721" s="4" t="str">
        <f>IF(LEN(TRIM(A721))=0,"",COUNTIFS(Students!H:H, A721))</f>
        <v/>
      </c>
      <c r="G721" s="4" t="str">
        <f>IF(LEN(TRIM(A721))=0,"",COUNTIFS(Students!H:H, A721, Students!D:D, "&gt;=0"))</f>
        <v/>
      </c>
      <c r="H721" s="4" t="str">
        <f t="shared" si="22"/>
        <v/>
      </c>
      <c r="I721" s="30" t="str">
        <f t="shared" si="23"/>
        <v/>
      </c>
    </row>
    <row r="722" spans="6:9" x14ac:dyDescent="0.2">
      <c r="F722" s="4" t="str">
        <f>IF(LEN(TRIM(A722))=0,"",COUNTIFS(Students!H:H, A722))</f>
        <v/>
      </c>
      <c r="G722" s="4" t="str">
        <f>IF(LEN(TRIM(A722))=0,"",COUNTIFS(Students!H:H, A722, Students!D:D, "&gt;=0"))</f>
        <v/>
      </c>
      <c r="H722" s="4" t="str">
        <f t="shared" si="22"/>
        <v/>
      </c>
      <c r="I722" s="30" t="str">
        <f t="shared" si="23"/>
        <v/>
      </c>
    </row>
    <row r="723" spans="6:9" x14ac:dyDescent="0.2">
      <c r="F723" s="4" t="str">
        <f>IF(LEN(TRIM(A723))=0,"",COUNTIFS(Students!H:H, A723))</f>
        <v/>
      </c>
      <c r="G723" s="4" t="str">
        <f>IF(LEN(TRIM(A723))=0,"",COUNTIFS(Students!H:H, A723, Students!D:D, "&gt;=0"))</f>
        <v/>
      </c>
      <c r="H723" s="4" t="str">
        <f t="shared" si="22"/>
        <v/>
      </c>
      <c r="I723" s="30" t="str">
        <f t="shared" si="23"/>
        <v/>
      </c>
    </row>
    <row r="724" spans="6:9" x14ac:dyDescent="0.2">
      <c r="F724" s="4" t="str">
        <f>IF(LEN(TRIM(A724))=0,"",COUNTIFS(Students!H:H, A724))</f>
        <v/>
      </c>
      <c r="G724" s="4" t="str">
        <f>IF(LEN(TRIM(A724))=0,"",COUNTIFS(Students!H:H, A724, Students!D:D, "&gt;=0"))</f>
        <v/>
      </c>
      <c r="H724" s="4" t="str">
        <f t="shared" si="22"/>
        <v/>
      </c>
      <c r="I724" s="30" t="str">
        <f t="shared" si="23"/>
        <v/>
      </c>
    </row>
    <row r="725" spans="6:9" x14ac:dyDescent="0.2">
      <c r="F725" s="4" t="str">
        <f>IF(LEN(TRIM(A725))=0,"",COUNTIFS(Students!H:H, A725))</f>
        <v/>
      </c>
      <c r="G725" s="4" t="str">
        <f>IF(LEN(TRIM(A725))=0,"",COUNTIFS(Students!H:H, A725, Students!D:D, "&gt;=0"))</f>
        <v/>
      </c>
      <c r="H725" s="4" t="str">
        <f t="shared" si="22"/>
        <v/>
      </c>
      <c r="I725" s="30" t="str">
        <f t="shared" si="23"/>
        <v/>
      </c>
    </row>
    <row r="726" spans="6:9" x14ac:dyDescent="0.2">
      <c r="F726" s="4" t="str">
        <f>IF(LEN(TRIM(A726))=0,"",COUNTIFS(Students!H:H, A726))</f>
        <v/>
      </c>
      <c r="G726" s="4" t="str">
        <f>IF(LEN(TRIM(A726))=0,"",COUNTIFS(Students!H:H, A726, Students!D:D, "&gt;=0"))</f>
        <v/>
      </c>
      <c r="H726" s="4" t="str">
        <f t="shared" si="22"/>
        <v/>
      </c>
      <c r="I726" s="30" t="str">
        <f t="shared" si="23"/>
        <v/>
      </c>
    </row>
    <row r="727" spans="6:9" x14ac:dyDescent="0.2">
      <c r="F727" s="4" t="str">
        <f>IF(LEN(TRIM(A727))=0,"",COUNTIFS(Students!H:H, A727))</f>
        <v/>
      </c>
      <c r="G727" s="4" t="str">
        <f>IF(LEN(TRIM(A727))=0,"",COUNTIFS(Students!H:H, A727, Students!D:D, "&gt;=0"))</f>
        <v/>
      </c>
      <c r="H727" s="4" t="str">
        <f t="shared" si="22"/>
        <v/>
      </c>
      <c r="I727" s="30" t="str">
        <f t="shared" si="23"/>
        <v/>
      </c>
    </row>
    <row r="728" spans="6:9" x14ac:dyDescent="0.2">
      <c r="F728" s="4" t="str">
        <f>IF(LEN(TRIM(A728))=0,"",COUNTIFS(Students!H:H, A728))</f>
        <v/>
      </c>
      <c r="G728" s="4" t="str">
        <f>IF(LEN(TRIM(A728))=0,"",COUNTIFS(Students!H:H, A728, Students!D:D, "&gt;=0"))</f>
        <v/>
      </c>
      <c r="H728" s="4" t="str">
        <f t="shared" si="22"/>
        <v/>
      </c>
      <c r="I728" s="30" t="str">
        <f t="shared" si="23"/>
        <v/>
      </c>
    </row>
    <row r="729" spans="6:9" x14ac:dyDescent="0.2">
      <c r="F729" s="4" t="str">
        <f>IF(LEN(TRIM(A729))=0,"",COUNTIFS(Students!H:H, A729))</f>
        <v/>
      </c>
      <c r="G729" s="4" t="str">
        <f>IF(LEN(TRIM(A729))=0,"",COUNTIFS(Students!H:H, A729, Students!D:D, "&gt;=0"))</f>
        <v/>
      </c>
      <c r="H729" s="4" t="str">
        <f t="shared" si="22"/>
        <v/>
      </c>
      <c r="I729" s="30" t="str">
        <f t="shared" si="23"/>
        <v/>
      </c>
    </row>
    <row r="730" spans="6:9" x14ac:dyDescent="0.2">
      <c r="F730" s="4" t="str">
        <f>IF(LEN(TRIM(A730))=0,"",COUNTIFS(Students!H:H, A730))</f>
        <v/>
      </c>
      <c r="G730" s="4" t="str">
        <f>IF(LEN(TRIM(A730))=0,"",COUNTIFS(Students!H:H, A730, Students!D:D, "&gt;=0"))</f>
        <v/>
      </c>
      <c r="H730" s="4" t="str">
        <f t="shared" si="22"/>
        <v/>
      </c>
      <c r="I730" s="30" t="str">
        <f t="shared" si="23"/>
        <v/>
      </c>
    </row>
    <row r="731" spans="6:9" x14ac:dyDescent="0.2">
      <c r="F731" s="4" t="str">
        <f>IF(LEN(TRIM(A731))=0,"",COUNTIFS(Students!H:H, A731))</f>
        <v/>
      </c>
      <c r="G731" s="4" t="str">
        <f>IF(LEN(TRIM(A731))=0,"",COUNTIFS(Students!H:H, A731, Students!D:D, "&gt;=0"))</f>
        <v/>
      </c>
      <c r="H731" s="4" t="str">
        <f t="shared" si="22"/>
        <v/>
      </c>
      <c r="I731" s="30" t="str">
        <f t="shared" si="23"/>
        <v/>
      </c>
    </row>
    <row r="732" spans="6:9" x14ac:dyDescent="0.2">
      <c r="F732" s="4" t="str">
        <f>IF(LEN(TRIM(A732))=0,"",COUNTIFS(Students!H:H, A732))</f>
        <v/>
      </c>
      <c r="G732" s="4" t="str">
        <f>IF(LEN(TRIM(A732))=0,"",COUNTIFS(Students!H:H, A732, Students!D:D, "&gt;=0"))</f>
        <v/>
      </c>
      <c r="H732" s="4" t="str">
        <f t="shared" si="22"/>
        <v/>
      </c>
      <c r="I732" s="30" t="str">
        <f t="shared" si="23"/>
        <v/>
      </c>
    </row>
    <row r="733" spans="6:9" x14ac:dyDescent="0.2">
      <c r="F733" s="4" t="str">
        <f>IF(LEN(TRIM(A733))=0,"",COUNTIFS(Students!H:H, A733))</f>
        <v/>
      </c>
      <c r="G733" s="4" t="str">
        <f>IF(LEN(TRIM(A733))=0,"",COUNTIFS(Students!H:H, A733, Students!D:D, "&gt;=0"))</f>
        <v/>
      </c>
      <c r="H733" s="4" t="str">
        <f t="shared" si="22"/>
        <v/>
      </c>
      <c r="I733" s="30" t="str">
        <f t="shared" si="23"/>
        <v/>
      </c>
    </row>
    <row r="734" spans="6:9" x14ac:dyDescent="0.2">
      <c r="F734" s="4" t="str">
        <f>IF(LEN(TRIM(A734))=0,"",COUNTIFS(Students!H:H, A734))</f>
        <v/>
      </c>
      <c r="G734" s="4" t="str">
        <f>IF(LEN(TRIM(A734))=0,"",COUNTIFS(Students!H:H, A734, Students!D:D, "&gt;=0"))</f>
        <v/>
      </c>
      <c r="H734" s="4" t="str">
        <f t="shared" si="22"/>
        <v/>
      </c>
      <c r="I734" s="30" t="str">
        <f t="shared" si="23"/>
        <v/>
      </c>
    </row>
    <row r="735" spans="6:9" x14ac:dyDescent="0.2">
      <c r="F735" s="4" t="str">
        <f>IF(LEN(TRIM(A735))=0,"",COUNTIFS(Students!H:H, A735))</f>
        <v/>
      </c>
      <c r="G735" s="4" t="str">
        <f>IF(LEN(TRIM(A735))=0,"",COUNTIFS(Students!H:H, A735, Students!D:D, "&gt;=0"))</f>
        <v/>
      </c>
      <c r="H735" s="4" t="str">
        <f t="shared" si="22"/>
        <v/>
      </c>
      <c r="I735" s="30" t="str">
        <f t="shared" si="23"/>
        <v/>
      </c>
    </row>
    <row r="736" spans="6:9" x14ac:dyDescent="0.2">
      <c r="F736" s="4" t="str">
        <f>IF(LEN(TRIM(A736))=0,"",COUNTIFS(Students!H:H, A736))</f>
        <v/>
      </c>
      <c r="G736" s="4" t="str">
        <f>IF(LEN(TRIM(A736))=0,"",COUNTIFS(Students!H:H, A736, Students!D:D, "&gt;=0"))</f>
        <v/>
      </c>
      <c r="H736" s="4" t="str">
        <f t="shared" si="22"/>
        <v/>
      </c>
      <c r="I736" s="30" t="str">
        <f t="shared" si="23"/>
        <v/>
      </c>
    </row>
    <row r="737" spans="6:9" x14ac:dyDescent="0.2">
      <c r="F737" s="4" t="str">
        <f>IF(LEN(TRIM(A737))=0,"",COUNTIFS(Students!H:H, A737))</f>
        <v/>
      </c>
      <c r="G737" s="4" t="str">
        <f>IF(LEN(TRIM(A737))=0,"",COUNTIFS(Students!H:H, A737, Students!D:D, "&gt;=0"))</f>
        <v/>
      </c>
      <c r="H737" s="4" t="str">
        <f t="shared" si="22"/>
        <v/>
      </c>
      <c r="I737" s="30" t="str">
        <f t="shared" si="23"/>
        <v/>
      </c>
    </row>
    <row r="738" spans="6:9" x14ac:dyDescent="0.2">
      <c r="F738" s="4" t="str">
        <f>IF(LEN(TRIM(A738))=0,"",COUNTIFS(Students!H:H, A738))</f>
        <v/>
      </c>
      <c r="G738" s="4" t="str">
        <f>IF(LEN(TRIM(A738))=0,"",COUNTIFS(Students!H:H, A738, Students!D:D, "&gt;=0"))</f>
        <v/>
      </c>
      <c r="H738" s="4" t="str">
        <f t="shared" si="22"/>
        <v/>
      </c>
      <c r="I738" s="30" t="str">
        <f t="shared" si="23"/>
        <v/>
      </c>
    </row>
    <row r="739" spans="6:9" x14ac:dyDescent="0.2">
      <c r="F739" s="4" t="str">
        <f>IF(LEN(TRIM(A739))=0,"",COUNTIFS(Students!H:H, A739))</f>
        <v/>
      </c>
      <c r="G739" s="4" t="str">
        <f>IF(LEN(TRIM(A739))=0,"",COUNTIFS(Students!H:H, A739, Students!D:D, "&gt;=0"))</f>
        <v/>
      </c>
      <c r="H739" s="4" t="str">
        <f t="shared" si="22"/>
        <v/>
      </c>
      <c r="I739" s="30" t="str">
        <f t="shared" si="23"/>
        <v/>
      </c>
    </row>
    <row r="740" spans="6:9" x14ac:dyDescent="0.2">
      <c r="F740" s="4" t="str">
        <f>IF(LEN(TRIM(A740))=0,"",COUNTIFS(Students!H:H, A740))</f>
        <v/>
      </c>
      <c r="G740" s="4" t="str">
        <f>IF(LEN(TRIM(A740))=0,"",COUNTIFS(Students!H:H, A740, Students!D:D, "&gt;=0"))</f>
        <v/>
      </c>
      <c r="H740" s="4" t="str">
        <f t="shared" si="22"/>
        <v/>
      </c>
      <c r="I740" s="30" t="str">
        <f t="shared" si="23"/>
        <v/>
      </c>
    </row>
    <row r="741" spans="6:9" x14ac:dyDescent="0.2">
      <c r="F741" s="4" t="str">
        <f>IF(LEN(TRIM(A741))=0,"",COUNTIFS(Students!H:H, A741))</f>
        <v/>
      </c>
      <c r="G741" s="4" t="str">
        <f>IF(LEN(TRIM(A741))=0,"",COUNTIFS(Students!H:H, A741, Students!D:D, "&gt;=0"))</f>
        <v/>
      </c>
      <c r="H741" s="4" t="str">
        <f t="shared" si="22"/>
        <v/>
      </c>
      <c r="I741" s="30" t="str">
        <f t="shared" si="23"/>
        <v/>
      </c>
    </row>
    <row r="742" spans="6:9" x14ac:dyDescent="0.2">
      <c r="F742" s="4" t="str">
        <f>IF(LEN(TRIM(A742))=0,"",COUNTIFS(Students!H:H, A742))</f>
        <v/>
      </c>
      <c r="G742" s="4" t="str">
        <f>IF(LEN(TRIM(A742))=0,"",COUNTIFS(Students!H:H, A742, Students!D:D, "&gt;=0"))</f>
        <v/>
      </c>
      <c r="H742" s="4" t="str">
        <f t="shared" si="22"/>
        <v/>
      </c>
      <c r="I742" s="30" t="str">
        <f t="shared" si="23"/>
        <v/>
      </c>
    </row>
    <row r="743" spans="6:9" x14ac:dyDescent="0.2">
      <c r="F743" s="4" t="str">
        <f>IF(LEN(TRIM(A743))=0,"",COUNTIFS(Students!H:H, A743))</f>
        <v/>
      </c>
      <c r="G743" s="4" t="str">
        <f>IF(LEN(TRIM(A743))=0,"",COUNTIFS(Students!H:H, A743, Students!D:D, "&gt;=0"))</f>
        <v/>
      </c>
      <c r="H743" s="4" t="str">
        <f t="shared" si="22"/>
        <v/>
      </c>
      <c r="I743" s="30" t="str">
        <f t="shared" si="23"/>
        <v/>
      </c>
    </row>
    <row r="744" spans="6:9" x14ac:dyDescent="0.2">
      <c r="F744" s="4" t="str">
        <f>IF(LEN(TRIM(A744))=0,"",COUNTIFS(Students!H:H, A744))</f>
        <v/>
      </c>
      <c r="G744" s="4" t="str">
        <f>IF(LEN(TRIM(A744))=0,"",COUNTIFS(Students!H:H, A744, Students!D:D, "&gt;=0"))</f>
        <v/>
      </c>
      <c r="H744" s="4" t="str">
        <f t="shared" si="22"/>
        <v/>
      </c>
      <c r="I744" s="30" t="str">
        <f t="shared" si="23"/>
        <v/>
      </c>
    </row>
    <row r="745" spans="6:9" x14ac:dyDescent="0.2">
      <c r="F745" s="4" t="str">
        <f>IF(LEN(TRIM(A745))=0,"",COUNTIFS(Students!H:H, A745))</f>
        <v/>
      </c>
      <c r="G745" s="4" t="str">
        <f>IF(LEN(TRIM(A745))=0,"",COUNTIFS(Students!H:H, A745, Students!D:D, "&gt;=0"))</f>
        <v/>
      </c>
      <c r="H745" s="4" t="str">
        <f t="shared" si="22"/>
        <v/>
      </c>
      <c r="I745" s="30" t="str">
        <f t="shared" si="23"/>
        <v/>
      </c>
    </row>
    <row r="746" spans="6:9" x14ac:dyDescent="0.2">
      <c r="F746" s="4" t="str">
        <f>IF(LEN(TRIM(A746))=0,"",COUNTIFS(Students!H:H, A746))</f>
        <v/>
      </c>
      <c r="G746" s="4" t="str">
        <f>IF(LEN(TRIM(A746))=0,"",COUNTIFS(Students!H:H, A746, Students!D:D, "&gt;=0"))</f>
        <v/>
      </c>
      <c r="H746" s="4" t="str">
        <f t="shared" si="22"/>
        <v/>
      </c>
      <c r="I746" s="30" t="str">
        <f t="shared" si="23"/>
        <v/>
      </c>
    </row>
    <row r="747" spans="6:9" x14ac:dyDescent="0.2">
      <c r="F747" s="4" t="str">
        <f>IF(LEN(TRIM(A747))=0,"",COUNTIFS(Students!H:H, A747))</f>
        <v/>
      </c>
      <c r="G747" s="4" t="str">
        <f>IF(LEN(TRIM(A747))=0,"",COUNTIFS(Students!H:H, A747, Students!D:D, "&gt;=0"))</f>
        <v/>
      </c>
      <c r="H747" s="4" t="str">
        <f t="shared" si="22"/>
        <v/>
      </c>
      <c r="I747" s="30" t="str">
        <f t="shared" si="23"/>
        <v/>
      </c>
    </row>
    <row r="748" spans="6:9" x14ac:dyDescent="0.2">
      <c r="F748" s="4" t="str">
        <f>IF(LEN(TRIM(A748))=0,"",COUNTIFS(Students!H:H, A748))</f>
        <v/>
      </c>
      <c r="G748" s="4" t="str">
        <f>IF(LEN(TRIM(A748))=0,"",COUNTIFS(Students!H:H, A748, Students!D:D, "&gt;=0"))</f>
        <v/>
      </c>
      <c r="H748" s="4" t="str">
        <f t="shared" si="22"/>
        <v/>
      </c>
      <c r="I748" s="30" t="str">
        <f t="shared" si="23"/>
        <v/>
      </c>
    </row>
    <row r="749" spans="6:9" x14ac:dyDescent="0.2">
      <c r="F749" s="4" t="str">
        <f>IF(LEN(TRIM(A749))=0,"",COUNTIFS(Students!H:H, A749))</f>
        <v/>
      </c>
      <c r="G749" s="4" t="str">
        <f>IF(LEN(TRIM(A749))=0,"",COUNTIFS(Students!H:H, A749, Students!D:D, "&gt;=0"))</f>
        <v/>
      </c>
      <c r="H749" s="4" t="str">
        <f t="shared" si="22"/>
        <v/>
      </c>
      <c r="I749" s="30" t="str">
        <f t="shared" si="23"/>
        <v/>
      </c>
    </row>
    <row r="750" spans="6:9" x14ac:dyDescent="0.2">
      <c r="F750" s="4" t="str">
        <f>IF(LEN(TRIM(A750))=0,"",COUNTIFS(Students!H:H, A750))</f>
        <v/>
      </c>
      <c r="G750" s="4" t="str">
        <f>IF(LEN(TRIM(A750))=0,"",COUNTIFS(Students!H:H, A750, Students!D:D, "&gt;=0"))</f>
        <v/>
      </c>
      <c r="H750" s="4" t="str">
        <f t="shared" si="22"/>
        <v/>
      </c>
      <c r="I750" s="30" t="str">
        <f t="shared" si="23"/>
        <v/>
      </c>
    </row>
    <row r="751" spans="6:9" x14ac:dyDescent="0.2">
      <c r="F751" s="4" t="str">
        <f>IF(LEN(TRIM(A751))=0,"",COUNTIFS(Students!H:H, A751))</f>
        <v/>
      </c>
      <c r="G751" s="4" t="str">
        <f>IF(LEN(TRIM(A751))=0,"",COUNTIFS(Students!H:H, A751, Students!D:D, "&gt;=0"))</f>
        <v/>
      </c>
      <c r="H751" s="4" t="str">
        <f t="shared" si="22"/>
        <v/>
      </c>
      <c r="I751" s="30" t="str">
        <f t="shared" si="23"/>
        <v/>
      </c>
    </row>
    <row r="752" spans="6:9" x14ac:dyDescent="0.2">
      <c r="F752" s="4" t="str">
        <f>IF(LEN(TRIM(A752))=0,"",COUNTIFS(Students!H:H, A752))</f>
        <v/>
      </c>
      <c r="G752" s="4" t="str">
        <f>IF(LEN(TRIM(A752))=0,"",COUNTIFS(Students!H:H, A752, Students!D:D, "&gt;=0"))</f>
        <v/>
      </c>
      <c r="H752" s="4" t="str">
        <f t="shared" si="22"/>
        <v/>
      </c>
      <c r="I752" s="30" t="str">
        <f t="shared" si="23"/>
        <v/>
      </c>
    </row>
    <row r="753" spans="6:9" x14ac:dyDescent="0.2">
      <c r="F753" s="4" t="str">
        <f>IF(LEN(TRIM(A753))=0,"",COUNTIFS(Students!H:H, A753))</f>
        <v/>
      </c>
      <c r="G753" s="4" t="str">
        <f>IF(LEN(TRIM(A753))=0,"",COUNTIFS(Students!H:H, A753, Students!D:D, "&gt;=0"))</f>
        <v/>
      </c>
      <c r="H753" s="4" t="str">
        <f t="shared" si="22"/>
        <v/>
      </c>
      <c r="I753" s="30" t="str">
        <f t="shared" si="23"/>
        <v/>
      </c>
    </row>
    <row r="754" spans="6:9" x14ac:dyDescent="0.2">
      <c r="F754" s="4" t="str">
        <f>IF(LEN(TRIM(A754))=0,"",COUNTIFS(Students!H:H, A754))</f>
        <v/>
      </c>
      <c r="G754" s="4" t="str">
        <f>IF(LEN(TRIM(A754))=0,"",COUNTIFS(Students!H:H, A754, Students!D:D, "&gt;=0"))</f>
        <v/>
      </c>
      <c r="H754" s="4" t="str">
        <f t="shared" si="22"/>
        <v/>
      </c>
      <c r="I754" s="30" t="str">
        <f t="shared" si="23"/>
        <v/>
      </c>
    </row>
    <row r="755" spans="6:9" x14ac:dyDescent="0.2">
      <c r="F755" s="4" t="str">
        <f>IF(LEN(TRIM(A755))=0,"",COUNTIFS(Students!H:H, A755))</f>
        <v/>
      </c>
      <c r="G755" s="4" t="str">
        <f>IF(LEN(TRIM(A755))=0,"",COUNTIFS(Students!H:H, A755, Students!D:D, "&gt;=0"))</f>
        <v/>
      </c>
      <c r="H755" s="4" t="str">
        <f t="shared" si="22"/>
        <v/>
      </c>
      <c r="I755" s="30" t="str">
        <f t="shared" si="23"/>
        <v/>
      </c>
    </row>
    <row r="756" spans="6:9" x14ac:dyDescent="0.2">
      <c r="F756" s="4" t="str">
        <f>IF(LEN(TRIM(A756))=0,"",COUNTIFS(Students!H:H, A756))</f>
        <v/>
      </c>
      <c r="G756" s="4" t="str">
        <f>IF(LEN(TRIM(A756))=0,"",COUNTIFS(Students!H:H, A756, Students!D:D, "&gt;=0"))</f>
        <v/>
      </c>
      <c r="H756" s="4" t="str">
        <f t="shared" si="22"/>
        <v/>
      </c>
      <c r="I756" s="30" t="str">
        <f t="shared" si="23"/>
        <v/>
      </c>
    </row>
    <row r="757" spans="6:9" x14ac:dyDescent="0.2">
      <c r="F757" s="4" t="str">
        <f>IF(LEN(TRIM(A757))=0,"",COUNTIFS(Students!H:H, A757))</f>
        <v/>
      </c>
      <c r="G757" s="4" t="str">
        <f>IF(LEN(TRIM(A757))=0,"",COUNTIFS(Students!H:H, A757, Students!D:D, "&gt;=0"))</f>
        <v/>
      </c>
      <c r="H757" s="4" t="str">
        <f t="shared" si="22"/>
        <v/>
      </c>
      <c r="I757" s="30" t="str">
        <f t="shared" si="23"/>
        <v/>
      </c>
    </row>
    <row r="758" spans="6:9" x14ac:dyDescent="0.2">
      <c r="F758" s="4" t="str">
        <f>IF(LEN(TRIM(A758))=0,"",COUNTIFS(Students!H:H, A758))</f>
        <v/>
      </c>
      <c r="G758" s="4" t="str">
        <f>IF(LEN(TRIM(A758))=0,"",COUNTIFS(Students!H:H, A758, Students!D:D, "&gt;=0"))</f>
        <v/>
      </c>
      <c r="H758" s="4" t="str">
        <f t="shared" si="22"/>
        <v/>
      </c>
      <c r="I758" s="30" t="str">
        <f t="shared" si="23"/>
        <v/>
      </c>
    </row>
    <row r="759" spans="6:9" x14ac:dyDescent="0.2">
      <c r="F759" s="4" t="str">
        <f>IF(LEN(TRIM(A759))=0,"",COUNTIFS(Students!H:H, A759))</f>
        <v/>
      </c>
      <c r="G759" s="4" t="str">
        <f>IF(LEN(TRIM(A759))=0,"",COUNTIFS(Students!H:H, A759, Students!D:D, "&gt;=0"))</f>
        <v/>
      </c>
      <c r="H759" s="4" t="str">
        <f t="shared" si="22"/>
        <v/>
      </c>
      <c r="I759" s="30" t="str">
        <f t="shared" si="23"/>
        <v/>
      </c>
    </row>
    <row r="760" spans="6:9" x14ac:dyDescent="0.2">
      <c r="F760" s="4" t="str">
        <f>IF(LEN(TRIM(A760))=0,"",COUNTIFS(Students!H:H, A760))</f>
        <v/>
      </c>
      <c r="G760" s="4" t="str">
        <f>IF(LEN(TRIM(A760))=0,"",COUNTIFS(Students!H:H, A760, Students!D:D, "&gt;=0"))</f>
        <v/>
      </c>
      <c r="H760" s="4" t="str">
        <f t="shared" si="22"/>
        <v/>
      </c>
      <c r="I760" s="30" t="str">
        <f t="shared" si="23"/>
        <v/>
      </c>
    </row>
    <row r="761" spans="6:9" x14ac:dyDescent="0.2">
      <c r="F761" s="4" t="str">
        <f>IF(LEN(TRIM(A761))=0,"",COUNTIFS(Students!H:H, A761))</f>
        <v/>
      </c>
      <c r="G761" s="4" t="str">
        <f>IF(LEN(TRIM(A761))=0,"",COUNTIFS(Students!H:H, A761, Students!D:D, "&gt;=0"))</f>
        <v/>
      </c>
      <c r="H761" s="4" t="str">
        <f t="shared" si="22"/>
        <v/>
      </c>
      <c r="I761" s="30" t="str">
        <f t="shared" si="23"/>
        <v/>
      </c>
    </row>
    <row r="762" spans="6:9" x14ac:dyDescent="0.2">
      <c r="F762" s="4" t="str">
        <f>IF(LEN(TRIM(A762))=0,"",COUNTIFS(Students!H:H, A762))</f>
        <v/>
      </c>
      <c r="G762" s="4" t="str">
        <f>IF(LEN(TRIM(A762))=0,"",COUNTIFS(Students!H:H, A762, Students!D:D, "&gt;=0"))</f>
        <v/>
      </c>
      <c r="H762" s="4" t="str">
        <f t="shared" si="22"/>
        <v/>
      </c>
      <c r="I762" s="30" t="str">
        <f t="shared" si="23"/>
        <v/>
      </c>
    </row>
    <row r="763" spans="6:9" x14ac:dyDescent="0.2">
      <c r="F763" s="4" t="str">
        <f>IF(LEN(TRIM(A763))=0,"",COUNTIFS(Students!H:H, A763))</f>
        <v/>
      </c>
      <c r="G763" s="4" t="str">
        <f>IF(LEN(TRIM(A763))=0,"",COUNTIFS(Students!H:H, A763, Students!D:D, "&gt;=0"))</f>
        <v/>
      </c>
      <c r="H763" s="4" t="str">
        <f t="shared" si="22"/>
        <v/>
      </c>
      <c r="I763" s="30" t="str">
        <f t="shared" si="23"/>
        <v/>
      </c>
    </row>
    <row r="764" spans="6:9" x14ac:dyDescent="0.2">
      <c r="F764" s="4" t="str">
        <f>IF(LEN(TRIM(A764))=0,"",COUNTIFS(Students!H:H, A764))</f>
        <v/>
      </c>
      <c r="G764" s="4" t="str">
        <f>IF(LEN(TRIM(A764))=0,"",COUNTIFS(Students!H:H, A764, Students!D:D, "&gt;=0"))</f>
        <v/>
      </c>
      <c r="H764" s="4" t="str">
        <f t="shared" si="22"/>
        <v/>
      </c>
      <c r="I764" s="30" t="str">
        <f t="shared" si="23"/>
        <v/>
      </c>
    </row>
    <row r="765" spans="6:9" x14ac:dyDescent="0.2">
      <c r="F765" s="4" t="str">
        <f>IF(LEN(TRIM(A765))=0,"",COUNTIFS(Students!H:H, A765))</f>
        <v/>
      </c>
      <c r="G765" s="4" t="str">
        <f>IF(LEN(TRIM(A765))=0,"",COUNTIFS(Students!H:H, A765, Students!D:D, "&gt;=0"))</f>
        <v/>
      </c>
      <c r="H765" s="4" t="str">
        <f t="shared" si="22"/>
        <v/>
      </c>
      <c r="I765" s="30" t="str">
        <f t="shared" si="23"/>
        <v/>
      </c>
    </row>
    <row r="766" spans="6:9" x14ac:dyDescent="0.2">
      <c r="F766" s="4" t="str">
        <f>IF(LEN(TRIM(A766))=0,"",COUNTIFS(Students!H:H, A766))</f>
        <v/>
      </c>
      <c r="G766" s="4" t="str">
        <f>IF(LEN(TRIM(A766))=0,"",COUNTIFS(Students!H:H, A766, Students!D:D, "&gt;=0"))</f>
        <v/>
      </c>
      <c r="H766" s="4" t="str">
        <f t="shared" si="22"/>
        <v/>
      </c>
      <c r="I766" s="30" t="str">
        <f t="shared" si="23"/>
        <v/>
      </c>
    </row>
    <row r="767" spans="6:9" x14ac:dyDescent="0.2">
      <c r="F767" s="4" t="str">
        <f>IF(LEN(TRIM(A767))=0,"",COUNTIFS(Students!H:H, A767))</f>
        <v/>
      </c>
      <c r="G767" s="4" t="str">
        <f>IF(LEN(TRIM(A767))=0,"",COUNTIFS(Students!H:H, A767, Students!D:D, "&gt;=0"))</f>
        <v/>
      </c>
      <c r="H767" s="4" t="str">
        <f t="shared" si="22"/>
        <v/>
      </c>
      <c r="I767" s="30" t="str">
        <f t="shared" si="23"/>
        <v/>
      </c>
    </row>
    <row r="768" spans="6:9" x14ac:dyDescent="0.2">
      <c r="F768" s="4" t="str">
        <f>IF(LEN(TRIM(A768))=0,"",COUNTIFS(Students!H:H, A768))</f>
        <v/>
      </c>
      <c r="G768" s="4" t="str">
        <f>IF(LEN(TRIM(A768))=0,"",COUNTIFS(Students!H:H, A768, Students!D:D, "&gt;=0"))</f>
        <v/>
      </c>
      <c r="H768" s="4" t="str">
        <f t="shared" si="22"/>
        <v/>
      </c>
      <c r="I768" s="30" t="str">
        <f t="shared" si="23"/>
        <v/>
      </c>
    </row>
    <row r="769" spans="6:9" x14ac:dyDescent="0.2">
      <c r="F769" s="4" t="str">
        <f>IF(LEN(TRIM(A769))=0,"",COUNTIFS(Students!H:H, A769))</f>
        <v/>
      </c>
      <c r="G769" s="4" t="str">
        <f>IF(LEN(TRIM(A769))=0,"",COUNTIFS(Students!H:H, A769, Students!D:D, "&gt;=0"))</f>
        <v/>
      </c>
      <c r="H769" s="4" t="str">
        <f t="shared" si="22"/>
        <v/>
      </c>
      <c r="I769" s="30" t="str">
        <f t="shared" si="23"/>
        <v/>
      </c>
    </row>
    <row r="770" spans="6:9" x14ac:dyDescent="0.2">
      <c r="F770" s="4" t="str">
        <f>IF(LEN(TRIM(A770))=0,"",COUNTIFS(Students!H:H, A770))</f>
        <v/>
      </c>
      <c r="G770" s="4" t="str">
        <f>IF(LEN(TRIM(A770))=0,"",COUNTIFS(Students!H:H, A770, Students!D:D, "&gt;=0"))</f>
        <v/>
      </c>
      <c r="H770" s="4" t="str">
        <f t="shared" si="22"/>
        <v/>
      </c>
      <c r="I770" s="30" t="str">
        <f t="shared" si="23"/>
        <v/>
      </c>
    </row>
    <row r="771" spans="6:9" x14ac:dyDescent="0.2">
      <c r="F771" s="4" t="str">
        <f>IF(LEN(TRIM(A771))=0,"",COUNTIFS(Students!H:H, A771))</f>
        <v/>
      </c>
      <c r="G771" s="4" t="str">
        <f>IF(LEN(TRIM(A771))=0,"",COUNTIFS(Students!H:H, A771, Students!D:D, "&gt;=0"))</f>
        <v/>
      </c>
      <c r="H771" s="4" t="str">
        <f t="shared" ref="H771:H834" si="24">IFERROR(F771-G771,"")</f>
        <v/>
      </c>
      <c r="I771" s="30" t="str">
        <f t="shared" ref="I771:I834" si="25">IFERROR(IF(F771=0, "N/A", G771/F771),"")</f>
        <v/>
      </c>
    </row>
    <row r="772" spans="6:9" x14ac:dyDescent="0.2">
      <c r="F772" s="4" t="str">
        <f>IF(LEN(TRIM(A772))=0,"",COUNTIFS(Students!H:H, A772))</f>
        <v/>
      </c>
      <c r="G772" s="4" t="str">
        <f>IF(LEN(TRIM(A772))=0,"",COUNTIFS(Students!H:H, A772, Students!D:D, "&gt;=0"))</f>
        <v/>
      </c>
      <c r="H772" s="4" t="str">
        <f t="shared" si="24"/>
        <v/>
      </c>
      <c r="I772" s="30" t="str">
        <f t="shared" si="25"/>
        <v/>
      </c>
    </row>
    <row r="773" spans="6:9" x14ac:dyDescent="0.2">
      <c r="F773" s="4" t="str">
        <f>IF(LEN(TRIM(A773))=0,"",COUNTIFS(Students!H:H, A773))</f>
        <v/>
      </c>
      <c r="G773" s="4" t="str">
        <f>IF(LEN(TRIM(A773))=0,"",COUNTIFS(Students!H:H, A773, Students!D:D, "&gt;=0"))</f>
        <v/>
      </c>
      <c r="H773" s="4" t="str">
        <f t="shared" si="24"/>
        <v/>
      </c>
      <c r="I773" s="30" t="str">
        <f t="shared" si="25"/>
        <v/>
      </c>
    </row>
    <row r="774" spans="6:9" x14ac:dyDescent="0.2">
      <c r="F774" s="4" t="str">
        <f>IF(LEN(TRIM(A774))=0,"",COUNTIFS(Students!H:H, A774))</f>
        <v/>
      </c>
      <c r="G774" s="4" t="str">
        <f>IF(LEN(TRIM(A774))=0,"",COUNTIFS(Students!H:H, A774, Students!D:D, "&gt;=0"))</f>
        <v/>
      </c>
      <c r="H774" s="4" t="str">
        <f t="shared" si="24"/>
        <v/>
      </c>
      <c r="I774" s="30" t="str">
        <f t="shared" si="25"/>
        <v/>
      </c>
    </row>
    <row r="775" spans="6:9" x14ac:dyDescent="0.2">
      <c r="F775" s="4" t="str">
        <f>IF(LEN(TRIM(A775))=0,"",COUNTIFS(Students!H:H, A775))</f>
        <v/>
      </c>
      <c r="G775" s="4" t="str">
        <f>IF(LEN(TRIM(A775))=0,"",COUNTIFS(Students!H:H, A775, Students!D:D, "&gt;=0"))</f>
        <v/>
      </c>
      <c r="H775" s="4" t="str">
        <f t="shared" si="24"/>
        <v/>
      </c>
      <c r="I775" s="30" t="str">
        <f t="shared" si="25"/>
        <v/>
      </c>
    </row>
    <row r="776" spans="6:9" x14ac:dyDescent="0.2">
      <c r="F776" s="4" t="str">
        <f>IF(LEN(TRIM(A776))=0,"",COUNTIFS(Students!H:H, A776))</f>
        <v/>
      </c>
      <c r="G776" s="4" t="str">
        <f>IF(LEN(TRIM(A776))=0,"",COUNTIFS(Students!H:H, A776, Students!D:D, "&gt;=0"))</f>
        <v/>
      </c>
      <c r="H776" s="4" t="str">
        <f t="shared" si="24"/>
        <v/>
      </c>
      <c r="I776" s="30" t="str">
        <f t="shared" si="25"/>
        <v/>
      </c>
    </row>
    <row r="777" spans="6:9" x14ac:dyDescent="0.2">
      <c r="F777" s="4" t="str">
        <f>IF(LEN(TRIM(A777))=0,"",COUNTIFS(Students!H:H, A777))</f>
        <v/>
      </c>
      <c r="G777" s="4" t="str">
        <f>IF(LEN(TRIM(A777))=0,"",COUNTIFS(Students!H:H, A777, Students!D:D, "&gt;=0"))</f>
        <v/>
      </c>
      <c r="H777" s="4" t="str">
        <f t="shared" si="24"/>
        <v/>
      </c>
      <c r="I777" s="30" t="str">
        <f t="shared" si="25"/>
        <v/>
      </c>
    </row>
    <row r="778" spans="6:9" x14ac:dyDescent="0.2">
      <c r="F778" s="4" t="str">
        <f>IF(LEN(TRIM(A778))=0,"",COUNTIFS(Students!H:H, A778))</f>
        <v/>
      </c>
      <c r="G778" s="4" t="str">
        <f>IF(LEN(TRIM(A778))=0,"",COUNTIFS(Students!H:H, A778, Students!D:D, "&gt;=0"))</f>
        <v/>
      </c>
      <c r="H778" s="4" t="str">
        <f t="shared" si="24"/>
        <v/>
      </c>
      <c r="I778" s="30" t="str">
        <f t="shared" si="25"/>
        <v/>
      </c>
    </row>
    <row r="779" spans="6:9" x14ac:dyDescent="0.2">
      <c r="F779" s="4" t="str">
        <f>IF(LEN(TRIM(A779))=0,"",COUNTIFS(Students!H:H, A779))</f>
        <v/>
      </c>
      <c r="G779" s="4" t="str">
        <f>IF(LEN(TRIM(A779))=0,"",COUNTIFS(Students!H:H, A779, Students!D:D, "&gt;=0"))</f>
        <v/>
      </c>
      <c r="H779" s="4" t="str">
        <f t="shared" si="24"/>
        <v/>
      </c>
      <c r="I779" s="30" t="str">
        <f t="shared" si="25"/>
        <v/>
      </c>
    </row>
    <row r="780" spans="6:9" x14ac:dyDescent="0.2">
      <c r="F780" s="4" t="str">
        <f>IF(LEN(TRIM(A780))=0,"",COUNTIFS(Students!H:H, A780))</f>
        <v/>
      </c>
      <c r="G780" s="4" t="str">
        <f>IF(LEN(TRIM(A780))=0,"",COUNTIFS(Students!H:H, A780, Students!D:D, "&gt;=0"))</f>
        <v/>
      </c>
      <c r="H780" s="4" t="str">
        <f t="shared" si="24"/>
        <v/>
      </c>
      <c r="I780" s="30" t="str">
        <f t="shared" si="25"/>
        <v/>
      </c>
    </row>
    <row r="781" spans="6:9" x14ac:dyDescent="0.2">
      <c r="F781" s="4" t="str">
        <f>IF(LEN(TRIM(A781))=0,"",COUNTIFS(Students!H:H, A781))</f>
        <v/>
      </c>
      <c r="G781" s="4" t="str">
        <f>IF(LEN(TRIM(A781))=0,"",COUNTIFS(Students!H:H, A781, Students!D:D, "&gt;=0"))</f>
        <v/>
      </c>
      <c r="H781" s="4" t="str">
        <f t="shared" si="24"/>
        <v/>
      </c>
      <c r="I781" s="30" t="str">
        <f t="shared" si="25"/>
        <v/>
      </c>
    </row>
    <row r="782" spans="6:9" x14ac:dyDescent="0.2">
      <c r="F782" s="4" t="str">
        <f>IF(LEN(TRIM(A782))=0,"",COUNTIFS(Students!H:H, A782))</f>
        <v/>
      </c>
      <c r="G782" s="4" t="str">
        <f>IF(LEN(TRIM(A782))=0,"",COUNTIFS(Students!H:H, A782, Students!D:D, "&gt;=0"))</f>
        <v/>
      </c>
      <c r="H782" s="4" t="str">
        <f t="shared" si="24"/>
        <v/>
      </c>
      <c r="I782" s="30" t="str">
        <f t="shared" si="25"/>
        <v/>
      </c>
    </row>
    <row r="783" spans="6:9" x14ac:dyDescent="0.2">
      <c r="F783" s="4" t="str">
        <f>IF(LEN(TRIM(A783))=0,"",COUNTIFS(Students!H:H, A783))</f>
        <v/>
      </c>
      <c r="G783" s="4" t="str">
        <f>IF(LEN(TRIM(A783))=0,"",COUNTIFS(Students!H:H, A783, Students!D:D, "&gt;=0"))</f>
        <v/>
      </c>
      <c r="H783" s="4" t="str">
        <f t="shared" si="24"/>
        <v/>
      </c>
      <c r="I783" s="30" t="str">
        <f t="shared" si="25"/>
        <v/>
      </c>
    </row>
    <row r="784" spans="6:9" x14ac:dyDescent="0.2">
      <c r="F784" s="4" t="str">
        <f>IF(LEN(TRIM(A784))=0,"",COUNTIFS(Students!H:H, A784))</f>
        <v/>
      </c>
      <c r="G784" s="4" t="str">
        <f>IF(LEN(TRIM(A784))=0,"",COUNTIFS(Students!H:H, A784, Students!D:D, "&gt;=0"))</f>
        <v/>
      </c>
      <c r="H784" s="4" t="str">
        <f t="shared" si="24"/>
        <v/>
      </c>
      <c r="I784" s="30" t="str">
        <f t="shared" si="25"/>
        <v/>
      </c>
    </row>
    <row r="785" spans="6:9" x14ac:dyDescent="0.2">
      <c r="F785" s="4" t="str">
        <f>IF(LEN(TRIM(A785))=0,"",COUNTIFS(Students!H:H, A785))</f>
        <v/>
      </c>
      <c r="G785" s="4" t="str">
        <f>IF(LEN(TRIM(A785))=0,"",COUNTIFS(Students!H:H, A785, Students!D:D, "&gt;=0"))</f>
        <v/>
      </c>
      <c r="H785" s="4" t="str">
        <f t="shared" si="24"/>
        <v/>
      </c>
      <c r="I785" s="30" t="str">
        <f t="shared" si="25"/>
        <v/>
      </c>
    </row>
    <row r="786" spans="6:9" x14ac:dyDescent="0.2">
      <c r="F786" s="4" t="str">
        <f>IF(LEN(TRIM(A786))=0,"",COUNTIFS(Students!H:H, A786))</f>
        <v/>
      </c>
      <c r="G786" s="4" t="str">
        <f>IF(LEN(TRIM(A786))=0,"",COUNTIFS(Students!H:H, A786, Students!D:D, "&gt;=0"))</f>
        <v/>
      </c>
      <c r="H786" s="4" t="str">
        <f t="shared" si="24"/>
        <v/>
      </c>
      <c r="I786" s="30" t="str">
        <f t="shared" si="25"/>
        <v/>
      </c>
    </row>
    <row r="787" spans="6:9" x14ac:dyDescent="0.2">
      <c r="F787" s="4" t="str">
        <f>IF(LEN(TRIM(A787))=0,"",COUNTIFS(Students!H:H, A787))</f>
        <v/>
      </c>
      <c r="G787" s="4" t="str">
        <f>IF(LEN(TRIM(A787))=0,"",COUNTIFS(Students!H:H, A787, Students!D:D, "&gt;=0"))</f>
        <v/>
      </c>
      <c r="H787" s="4" t="str">
        <f t="shared" si="24"/>
        <v/>
      </c>
      <c r="I787" s="30" t="str">
        <f t="shared" si="25"/>
        <v/>
      </c>
    </row>
    <row r="788" spans="6:9" x14ac:dyDescent="0.2">
      <c r="F788" s="4" t="str">
        <f>IF(LEN(TRIM(A788))=0,"",COUNTIFS(Students!H:H, A788))</f>
        <v/>
      </c>
      <c r="G788" s="4" t="str">
        <f>IF(LEN(TRIM(A788))=0,"",COUNTIFS(Students!H:H, A788, Students!D:D, "&gt;=0"))</f>
        <v/>
      </c>
      <c r="H788" s="4" t="str">
        <f t="shared" si="24"/>
        <v/>
      </c>
      <c r="I788" s="30" t="str">
        <f t="shared" si="25"/>
        <v/>
      </c>
    </row>
    <row r="789" spans="6:9" x14ac:dyDescent="0.2">
      <c r="F789" s="4" t="str">
        <f>IF(LEN(TRIM(A789))=0,"",COUNTIFS(Students!H:H, A789))</f>
        <v/>
      </c>
      <c r="G789" s="4" t="str">
        <f>IF(LEN(TRIM(A789))=0,"",COUNTIFS(Students!H:H, A789, Students!D:D, "&gt;=0"))</f>
        <v/>
      </c>
      <c r="H789" s="4" t="str">
        <f t="shared" si="24"/>
        <v/>
      </c>
      <c r="I789" s="30" t="str">
        <f t="shared" si="25"/>
        <v/>
      </c>
    </row>
    <row r="790" spans="6:9" x14ac:dyDescent="0.2">
      <c r="F790" s="4" t="str">
        <f>IF(LEN(TRIM(A790))=0,"",COUNTIFS(Students!H:H, A790))</f>
        <v/>
      </c>
      <c r="G790" s="4" t="str">
        <f>IF(LEN(TRIM(A790))=0,"",COUNTIFS(Students!H:H, A790, Students!D:D, "&gt;=0"))</f>
        <v/>
      </c>
      <c r="H790" s="4" t="str">
        <f t="shared" si="24"/>
        <v/>
      </c>
      <c r="I790" s="30" t="str">
        <f t="shared" si="25"/>
        <v/>
      </c>
    </row>
    <row r="791" spans="6:9" x14ac:dyDescent="0.2">
      <c r="F791" s="4" t="str">
        <f>IF(LEN(TRIM(A791))=0,"",COUNTIFS(Students!H:H, A791))</f>
        <v/>
      </c>
      <c r="G791" s="4" t="str">
        <f>IF(LEN(TRIM(A791))=0,"",COUNTIFS(Students!H:H, A791, Students!D:D, "&gt;=0"))</f>
        <v/>
      </c>
      <c r="H791" s="4" t="str">
        <f t="shared" si="24"/>
        <v/>
      </c>
      <c r="I791" s="30" t="str">
        <f t="shared" si="25"/>
        <v/>
      </c>
    </row>
    <row r="792" spans="6:9" x14ac:dyDescent="0.2">
      <c r="F792" s="4" t="str">
        <f>IF(LEN(TRIM(A792))=0,"",COUNTIFS(Students!H:H, A792))</f>
        <v/>
      </c>
      <c r="G792" s="4" t="str">
        <f>IF(LEN(TRIM(A792))=0,"",COUNTIFS(Students!H:H, A792, Students!D:D, "&gt;=0"))</f>
        <v/>
      </c>
      <c r="H792" s="4" t="str">
        <f t="shared" si="24"/>
        <v/>
      </c>
      <c r="I792" s="30" t="str">
        <f t="shared" si="25"/>
        <v/>
      </c>
    </row>
    <row r="793" spans="6:9" x14ac:dyDescent="0.2">
      <c r="F793" s="4" t="str">
        <f>IF(LEN(TRIM(A793))=0,"",COUNTIFS(Students!H:H, A793))</f>
        <v/>
      </c>
      <c r="G793" s="4" t="str">
        <f>IF(LEN(TRIM(A793))=0,"",COUNTIFS(Students!H:H, A793, Students!D:D, "&gt;=0"))</f>
        <v/>
      </c>
      <c r="H793" s="4" t="str">
        <f t="shared" si="24"/>
        <v/>
      </c>
      <c r="I793" s="30" t="str">
        <f t="shared" si="25"/>
        <v/>
      </c>
    </row>
    <row r="794" spans="6:9" x14ac:dyDescent="0.2">
      <c r="F794" s="4" t="str">
        <f>IF(LEN(TRIM(A794))=0,"",COUNTIFS(Students!H:H, A794))</f>
        <v/>
      </c>
      <c r="G794" s="4" t="str">
        <f>IF(LEN(TRIM(A794))=0,"",COUNTIFS(Students!H:H, A794, Students!D:D, "&gt;=0"))</f>
        <v/>
      </c>
      <c r="H794" s="4" t="str">
        <f t="shared" si="24"/>
        <v/>
      </c>
      <c r="I794" s="30" t="str">
        <f t="shared" si="25"/>
        <v/>
      </c>
    </row>
    <row r="795" spans="6:9" x14ac:dyDescent="0.2">
      <c r="F795" s="4" t="str">
        <f>IF(LEN(TRIM(A795))=0,"",COUNTIFS(Students!H:H, A795))</f>
        <v/>
      </c>
      <c r="G795" s="4" t="str">
        <f>IF(LEN(TRIM(A795))=0,"",COUNTIFS(Students!H:H, A795, Students!D:D, "&gt;=0"))</f>
        <v/>
      </c>
      <c r="H795" s="4" t="str">
        <f t="shared" si="24"/>
        <v/>
      </c>
      <c r="I795" s="30" t="str">
        <f t="shared" si="25"/>
        <v/>
      </c>
    </row>
    <row r="796" spans="6:9" x14ac:dyDescent="0.2">
      <c r="F796" s="4" t="str">
        <f>IF(LEN(TRIM(A796))=0,"",COUNTIFS(Students!H:H, A796))</f>
        <v/>
      </c>
      <c r="G796" s="4" t="str">
        <f>IF(LEN(TRIM(A796))=0,"",COUNTIFS(Students!H:H, A796, Students!D:D, "&gt;=0"))</f>
        <v/>
      </c>
      <c r="H796" s="4" t="str">
        <f t="shared" si="24"/>
        <v/>
      </c>
      <c r="I796" s="30" t="str">
        <f t="shared" si="25"/>
        <v/>
      </c>
    </row>
    <row r="797" spans="6:9" x14ac:dyDescent="0.2">
      <c r="F797" s="4" t="str">
        <f>IF(LEN(TRIM(A797))=0,"",COUNTIFS(Students!H:H, A797))</f>
        <v/>
      </c>
      <c r="G797" s="4" t="str">
        <f>IF(LEN(TRIM(A797))=0,"",COUNTIFS(Students!H:H, A797, Students!D:D, "&gt;=0"))</f>
        <v/>
      </c>
      <c r="H797" s="4" t="str">
        <f t="shared" si="24"/>
        <v/>
      </c>
      <c r="I797" s="30" t="str">
        <f t="shared" si="25"/>
        <v/>
      </c>
    </row>
    <row r="798" spans="6:9" x14ac:dyDescent="0.2">
      <c r="F798" s="4" t="str">
        <f>IF(LEN(TRIM(A798))=0,"",COUNTIFS(Students!H:H, A798))</f>
        <v/>
      </c>
      <c r="G798" s="4" t="str">
        <f>IF(LEN(TRIM(A798))=0,"",COUNTIFS(Students!H:H, A798, Students!D:D, "&gt;=0"))</f>
        <v/>
      </c>
      <c r="H798" s="4" t="str">
        <f t="shared" si="24"/>
        <v/>
      </c>
      <c r="I798" s="30" t="str">
        <f t="shared" si="25"/>
        <v/>
      </c>
    </row>
    <row r="799" spans="6:9" x14ac:dyDescent="0.2">
      <c r="F799" s="4" t="str">
        <f>IF(LEN(TRIM(A799))=0,"",COUNTIFS(Students!H:H, A799))</f>
        <v/>
      </c>
      <c r="G799" s="4" t="str">
        <f>IF(LEN(TRIM(A799))=0,"",COUNTIFS(Students!H:H, A799, Students!D:D, "&gt;=0"))</f>
        <v/>
      </c>
      <c r="H799" s="4" t="str">
        <f t="shared" si="24"/>
        <v/>
      </c>
      <c r="I799" s="30" t="str">
        <f t="shared" si="25"/>
        <v/>
      </c>
    </row>
    <row r="800" spans="6:9" x14ac:dyDescent="0.2">
      <c r="F800" s="4" t="str">
        <f>IF(LEN(TRIM(A800))=0,"",COUNTIFS(Students!H:H, A800))</f>
        <v/>
      </c>
      <c r="G800" s="4" t="str">
        <f>IF(LEN(TRIM(A800))=0,"",COUNTIFS(Students!H:H, A800, Students!D:D, "&gt;=0"))</f>
        <v/>
      </c>
      <c r="H800" s="4" t="str">
        <f t="shared" si="24"/>
        <v/>
      </c>
      <c r="I800" s="30" t="str">
        <f t="shared" si="25"/>
        <v/>
      </c>
    </row>
    <row r="801" spans="6:9" x14ac:dyDescent="0.2">
      <c r="F801" s="4" t="str">
        <f>IF(LEN(TRIM(A801))=0,"",COUNTIFS(Students!H:H, A801))</f>
        <v/>
      </c>
      <c r="G801" s="4" t="str">
        <f>IF(LEN(TRIM(A801))=0,"",COUNTIFS(Students!H:H, A801, Students!D:D, "&gt;=0"))</f>
        <v/>
      </c>
      <c r="H801" s="4" t="str">
        <f t="shared" si="24"/>
        <v/>
      </c>
      <c r="I801" s="30" t="str">
        <f t="shared" si="25"/>
        <v/>
      </c>
    </row>
    <row r="802" spans="6:9" x14ac:dyDescent="0.2">
      <c r="F802" s="4" t="str">
        <f>IF(LEN(TRIM(A802))=0,"",COUNTIFS(Students!H:H, A802))</f>
        <v/>
      </c>
      <c r="G802" s="4" t="str">
        <f>IF(LEN(TRIM(A802))=0,"",COUNTIFS(Students!H:H, A802, Students!D:D, "&gt;=0"))</f>
        <v/>
      </c>
      <c r="H802" s="4" t="str">
        <f t="shared" si="24"/>
        <v/>
      </c>
      <c r="I802" s="30" t="str">
        <f t="shared" si="25"/>
        <v/>
      </c>
    </row>
    <row r="803" spans="6:9" x14ac:dyDescent="0.2">
      <c r="F803" s="4" t="str">
        <f>IF(LEN(TRIM(A803))=0,"",COUNTIFS(Students!H:H, A803))</f>
        <v/>
      </c>
      <c r="G803" s="4" t="str">
        <f>IF(LEN(TRIM(A803))=0,"",COUNTIFS(Students!H:H, A803, Students!D:D, "&gt;=0"))</f>
        <v/>
      </c>
      <c r="H803" s="4" t="str">
        <f t="shared" si="24"/>
        <v/>
      </c>
      <c r="I803" s="30" t="str">
        <f t="shared" si="25"/>
        <v/>
      </c>
    </row>
    <row r="804" spans="6:9" x14ac:dyDescent="0.2">
      <c r="F804" s="4" t="str">
        <f>IF(LEN(TRIM(A804))=0,"",COUNTIFS(Students!H:H, A804))</f>
        <v/>
      </c>
      <c r="G804" s="4" t="str">
        <f>IF(LEN(TRIM(A804))=0,"",COUNTIFS(Students!H:H, A804, Students!D:D, "&gt;=0"))</f>
        <v/>
      </c>
      <c r="H804" s="4" t="str">
        <f t="shared" si="24"/>
        <v/>
      </c>
      <c r="I804" s="30" t="str">
        <f t="shared" si="25"/>
        <v/>
      </c>
    </row>
    <row r="805" spans="6:9" x14ac:dyDescent="0.2">
      <c r="F805" s="4" t="str">
        <f>IF(LEN(TRIM(A805))=0,"",COUNTIFS(Students!H:H, A805))</f>
        <v/>
      </c>
      <c r="G805" s="4" t="str">
        <f>IF(LEN(TRIM(A805))=0,"",COUNTIFS(Students!H:H, A805, Students!D:D, "&gt;=0"))</f>
        <v/>
      </c>
      <c r="H805" s="4" t="str">
        <f t="shared" si="24"/>
        <v/>
      </c>
      <c r="I805" s="30" t="str">
        <f t="shared" si="25"/>
        <v/>
      </c>
    </row>
    <row r="806" spans="6:9" x14ac:dyDescent="0.2">
      <c r="F806" s="4" t="str">
        <f>IF(LEN(TRIM(A806))=0,"",COUNTIFS(Students!H:H, A806))</f>
        <v/>
      </c>
      <c r="G806" s="4" t="str">
        <f>IF(LEN(TRIM(A806))=0,"",COUNTIFS(Students!H:H, A806, Students!D:D, "&gt;=0"))</f>
        <v/>
      </c>
      <c r="H806" s="4" t="str">
        <f t="shared" si="24"/>
        <v/>
      </c>
      <c r="I806" s="30" t="str">
        <f t="shared" si="25"/>
        <v/>
      </c>
    </row>
    <row r="807" spans="6:9" x14ac:dyDescent="0.2">
      <c r="F807" s="4" t="str">
        <f>IF(LEN(TRIM(A807))=0,"",COUNTIFS(Students!H:H, A807))</f>
        <v/>
      </c>
      <c r="G807" s="4" t="str">
        <f>IF(LEN(TRIM(A807))=0,"",COUNTIFS(Students!H:H, A807, Students!D:D, "&gt;=0"))</f>
        <v/>
      </c>
      <c r="H807" s="4" t="str">
        <f t="shared" si="24"/>
        <v/>
      </c>
      <c r="I807" s="30" t="str">
        <f t="shared" si="25"/>
        <v/>
      </c>
    </row>
    <row r="808" spans="6:9" x14ac:dyDescent="0.2">
      <c r="F808" s="4" t="str">
        <f>IF(LEN(TRIM(A808))=0,"",COUNTIFS(Students!H:H, A808))</f>
        <v/>
      </c>
      <c r="G808" s="4" t="str">
        <f>IF(LEN(TRIM(A808))=0,"",COUNTIFS(Students!H:H, A808, Students!D:D, "&gt;=0"))</f>
        <v/>
      </c>
      <c r="H808" s="4" t="str">
        <f t="shared" si="24"/>
        <v/>
      </c>
      <c r="I808" s="30" t="str">
        <f t="shared" si="25"/>
        <v/>
      </c>
    </row>
    <row r="809" spans="6:9" x14ac:dyDescent="0.2">
      <c r="F809" s="4" t="str">
        <f>IF(LEN(TRIM(A809))=0,"",COUNTIFS(Students!H:H, A809))</f>
        <v/>
      </c>
      <c r="G809" s="4" t="str">
        <f>IF(LEN(TRIM(A809))=0,"",COUNTIFS(Students!H:H, A809, Students!D:D, "&gt;=0"))</f>
        <v/>
      </c>
      <c r="H809" s="4" t="str">
        <f t="shared" si="24"/>
        <v/>
      </c>
      <c r="I809" s="30" t="str">
        <f t="shared" si="25"/>
        <v/>
      </c>
    </row>
    <row r="810" spans="6:9" x14ac:dyDescent="0.2">
      <c r="F810" s="4" t="str">
        <f>IF(LEN(TRIM(A810))=0,"",COUNTIFS(Students!H:H, A810))</f>
        <v/>
      </c>
      <c r="G810" s="4" t="str">
        <f>IF(LEN(TRIM(A810))=0,"",COUNTIFS(Students!H:H, A810, Students!D:D, "&gt;=0"))</f>
        <v/>
      </c>
      <c r="H810" s="4" t="str">
        <f t="shared" si="24"/>
        <v/>
      </c>
      <c r="I810" s="30" t="str">
        <f t="shared" si="25"/>
        <v/>
      </c>
    </row>
    <row r="811" spans="6:9" x14ac:dyDescent="0.2">
      <c r="F811" s="4" t="str">
        <f>IF(LEN(TRIM(A811))=0,"",COUNTIFS(Students!H:H, A811))</f>
        <v/>
      </c>
      <c r="G811" s="4" t="str">
        <f>IF(LEN(TRIM(A811))=0,"",COUNTIFS(Students!H:H, A811, Students!D:D, "&gt;=0"))</f>
        <v/>
      </c>
      <c r="H811" s="4" t="str">
        <f t="shared" si="24"/>
        <v/>
      </c>
      <c r="I811" s="30" t="str">
        <f t="shared" si="25"/>
        <v/>
      </c>
    </row>
    <row r="812" spans="6:9" x14ac:dyDescent="0.2">
      <c r="F812" s="4" t="str">
        <f>IF(LEN(TRIM(A812))=0,"",COUNTIFS(Students!H:H, A812))</f>
        <v/>
      </c>
      <c r="G812" s="4" t="str">
        <f>IF(LEN(TRIM(A812))=0,"",COUNTIFS(Students!H:H, A812, Students!D:D, "&gt;=0"))</f>
        <v/>
      </c>
      <c r="H812" s="4" t="str">
        <f t="shared" si="24"/>
        <v/>
      </c>
      <c r="I812" s="30" t="str">
        <f t="shared" si="25"/>
        <v/>
      </c>
    </row>
    <row r="813" spans="6:9" x14ac:dyDescent="0.2">
      <c r="F813" s="4" t="str">
        <f>IF(LEN(TRIM(A813))=0,"",COUNTIFS(Students!H:H, A813))</f>
        <v/>
      </c>
      <c r="G813" s="4" t="str">
        <f>IF(LEN(TRIM(A813))=0,"",COUNTIFS(Students!H:H, A813, Students!D:D, "&gt;=0"))</f>
        <v/>
      </c>
      <c r="H813" s="4" t="str">
        <f t="shared" si="24"/>
        <v/>
      </c>
      <c r="I813" s="30" t="str">
        <f t="shared" si="25"/>
        <v/>
      </c>
    </row>
    <row r="814" spans="6:9" x14ac:dyDescent="0.2">
      <c r="F814" s="4" t="str">
        <f>IF(LEN(TRIM(A814))=0,"",COUNTIFS(Students!H:H, A814))</f>
        <v/>
      </c>
      <c r="G814" s="4" t="str">
        <f>IF(LEN(TRIM(A814))=0,"",COUNTIFS(Students!H:H, A814, Students!D:D, "&gt;=0"))</f>
        <v/>
      </c>
      <c r="H814" s="4" t="str">
        <f t="shared" si="24"/>
        <v/>
      </c>
      <c r="I814" s="30" t="str">
        <f t="shared" si="25"/>
        <v/>
      </c>
    </row>
    <row r="815" spans="6:9" x14ac:dyDescent="0.2">
      <c r="F815" s="4" t="str">
        <f>IF(LEN(TRIM(A815))=0,"",COUNTIFS(Students!H:H, A815))</f>
        <v/>
      </c>
      <c r="G815" s="4" t="str">
        <f>IF(LEN(TRIM(A815))=0,"",COUNTIFS(Students!H:H, A815, Students!D:D, "&gt;=0"))</f>
        <v/>
      </c>
      <c r="H815" s="4" t="str">
        <f t="shared" si="24"/>
        <v/>
      </c>
      <c r="I815" s="30" t="str">
        <f t="shared" si="25"/>
        <v/>
      </c>
    </row>
    <row r="816" spans="6:9" x14ac:dyDescent="0.2">
      <c r="F816" s="4" t="str">
        <f>IF(LEN(TRIM(A816))=0,"",COUNTIFS(Students!H:H, A816))</f>
        <v/>
      </c>
      <c r="G816" s="4" t="str">
        <f>IF(LEN(TRIM(A816))=0,"",COUNTIFS(Students!H:H, A816, Students!D:D, "&gt;=0"))</f>
        <v/>
      </c>
      <c r="H816" s="4" t="str">
        <f t="shared" si="24"/>
        <v/>
      </c>
      <c r="I816" s="30" t="str">
        <f t="shared" si="25"/>
        <v/>
      </c>
    </row>
    <row r="817" spans="6:9" x14ac:dyDescent="0.2">
      <c r="F817" s="4" t="str">
        <f>IF(LEN(TRIM(A817))=0,"",COUNTIFS(Students!H:H, A817))</f>
        <v/>
      </c>
      <c r="G817" s="4" t="str">
        <f>IF(LEN(TRIM(A817))=0,"",COUNTIFS(Students!H:H, A817, Students!D:D, "&gt;=0"))</f>
        <v/>
      </c>
      <c r="H817" s="4" t="str">
        <f t="shared" si="24"/>
        <v/>
      </c>
      <c r="I817" s="30" t="str">
        <f t="shared" si="25"/>
        <v/>
      </c>
    </row>
    <row r="818" spans="6:9" x14ac:dyDescent="0.2">
      <c r="F818" s="4" t="str">
        <f>IF(LEN(TRIM(A818))=0,"",COUNTIFS(Students!H:H, A818))</f>
        <v/>
      </c>
      <c r="G818" s="4" t="str">
        <f>IF(LEN(TRIM(A818))=0,"",COUNTIFS(Students!H:H, A818, Students!D:D, "&gt;=0"))</f>
        <v/>
      </c>
      <c r="H818" s="4" t="str">
        <f t="shared" si="24"/>
        <v/>
      </c>
      <c r="I818" s="30" t="str">
        <f t="shared" si="25"/>
        <v/>
      </c>
    </row>
    <row r="819" spans="6:9" x14ac:dyDescent="0.2">
      <c r="F819" s="4" t="str">
        <f>IF(LEN(TRIM(A819))=0,"",COUNTIFS(Students!H:H, A819))</f>
        <v/>
      </c>
      <c r="G819" s="4" t="str">
        <f>IF(LEN(TRIM(A819))=0,"",COUNTIFS(Students!H:H, A819, Students!D:D, "&gt;=0"))</f>
        <v/>
      </c>
      <c r="H819" s="4" t="str">
        <f t="shared" si="24"/>
        <v/>
      </c>
      <c r="I819" s="30" t="str">
        <f t="shared" si="25"/>
        <v/>
      </c>
    </row>
    <row r="820" spans="6:9" x14ac:dyDescent="0.2">
      <c r="F820" s="4" t="str">
        <f>IF(LEN(TRIM(A820))=0,"",COUNTIFS(Students!H:H, A820))</f>
        <v/>
      </c>
      <c r="G820" s="4" t="str">
        <f>IF(LEN(TRIM(A820))=0,"",COUNTIFS(Students!H:H, A820, Students!D:D, "&gt;=0"))</f>
        <v/>
      </c>
      <c r="H820" s="4" t="str">
        <f t="shared" si="24"/>
        <v/>
      </c>
      <c r="I820" s="30" t="str">
        <f t="shared" si="25"/>
        <v/>
      </c>
    </row>
    <row r="821" spans="6:9" x14ac:dyDescent="0.2">
      <c r="F821" s="4" t="str">
        <f>IF(LEN(TRIM(A821))=0,"",COUNTIFS(Students!H:H, A821))</f>
        <v/>
      </c>
      <c r="G821" s="4" t="str">
        <f>IF(LEN(TRIM(A821))=0,"",COUNTIFS(Students!H:H, A821, Students!D:D, "&gt;=0"))</f>
        <v/>
      </c>
      <c r="H821" s="4" t="str">
        <f t="shared" si="24"/>
        <v/>
      </c>
      <c r="I821" s="30" t="str">
        <f t="shared" si="25"/>
        <v/>
      </c>
    </row>
    <row r="822" spans="6:9" x14ac:dyDescent="0.2">
      <c r="F822" s="4" t="str">
        <f>IF(LEN(TRIM(A822))=0,"",COUNTIFS(Students!H:H, A822))</f>
        <v/>
      </c>
      <c r="G822" s="4" t="str">
        <f>IF(LEN(TRIM(A822))=0,"",COUNTIFS(Students!H:H, A822, Students!D:D, "&gt;=0"))</f>
        <v/>
      </c>
      <c r="H822" s="4" t="str">
        <f t="shared" si="24"/>
        <v/>
      </c>
      <c r="I822" s="30" t="str">
        <f t="shared" si="25"/>
        <v/>
      </c>
    </row>
    <row r="823" spans="6:9" x14ac:dyDescent="0.2">
      <c r="F823" s="4" t="str">
        <f>IF(LEN(TRIM(A823))=0,"",COUNTIFS(Students!H:H, A823))</f>
        <v/>
      </c>
      <c r="G823" s="4" t="str">
        <f>IF(LEN(TRIM(A823))=0,"",COUNTIFS(Students!H:H, A823, Students!D:D, "&gt;=0"))</f>
        <v/>
      </c>
      <c r="H823" s="4" t="str">
        <f t="shared" si="24"/>
        <v/>
      </c>
      <c r="I823" s="30" t="str">
        <f t="shared" si="25"/>
        <v/>
      </c>
    </row>
    <row r="824" spans="6:9" x14ac:dyDescent="0.2">
      <c r="F824" s="4" t="str">
        <f>IF(LEN(TRIM(A824))=0,"",COUNTIFS(Students!H:H, A824))</f>
        <v/>
      </c>
      <c r="G824" s="4" t="str">
        <f>IF(LEN(TRIM(A824))=0,"",COUNTIFS(Students!H:H, A824, Students!D:D, "&gt;=0"))</f>
        <v/>
      </c>
      <c r="H824" s="4" t="str">
        <f t="shared" si="24"/>
        <v/>
      </c>
      <c r="I824" s="30" t="str">
        <f t="shared" si="25"/>
        <v/>
      </c>
    </row>
    <row r="825" spans="6:9" x14ac:dyDescent="0.2">
      <c r="F825" s="4" t="str">
        <f>IF(LEN(TRIM(A825))=0,"",COUNTIFS(Students!H:H, A825))</f>
        <v/>
      </c>
      <c r="G825" s="4" t="str">
        <f>IF(LEN(TRIM(A825))=0,"",COUNTIFS(Students!H:H, A825, Students!D:D, "&gt;=0"))</f>
        <v/>
      </c>
      <c r="H825" s="4" t="str">
        <f t="shared" si="24"/>
        <v/>
      </c>
      <c r="I825" s="30" t="str">
        <f t="shared" si="25"/>
        <v/>
      </c>
    </row>
    <row r="826" spans="6:9" x14ac:dyDescent="0.2">
      <c r="F826" s="4" t="str">
        <f>IF(LEN(TRIM(A826))=0,"",COUNTIFS(Students!H:H, A826))</f>
        <v/>
      </c>
      <c r="G826" s="4" t="str">
        <f>IF(LEN(TRIM(A826))=0,"",COUNTIFS(Students!H:H, A826, Students!D:D, "&gt;=0"))</f>
        <v/>
      </c>
      <c r="H826" s="4" t="str">
        <f t="shared" si="24"/>
        <v/>
      </c>
      <c r="I826" s="30" t="str">
        <f t="shared" si="25"/>
        <v/>
      </c>
    </row>
    <row r="827" spans="6:9" x14ac:dyDescent="0.2">
      <c r="F827" s="4" t="str">
        <f>IF(LEN(TRIM(A827))=0,"",COUNTIFS(Students!H:H, A827))</f>
        <v/>
      </c>
      <c r="G827" s="4" t="str">
        <f>IF(LEN(TRIM(A827))=0,"",COUNTIFS(Students!H:H, A827, Students!D:D, "&gt;=0"))</f>
        <v/>
      </c>
      <c r="H827" s="4" t="str">
        <f t="shared" si="24"/>
        <v/>
      </c>
      <c r="I827" s="30" t="str">
        <f t="shared" si="25"/>
        <v/>
      </c>
    </row>
    <row r="828" spans="6:9" x14ac:dyDescent="0.2">
      <c r="F828" s="4" t="str">
        <f>IF(LEN(TRIM(A828))=0,"",COUNTIFS(Students!H:H, A828))</f>
        <v/>
      </c>
      <c r="G828" s="4" t="str">
        <f>IF(LEN(TRIM(A828))=0,"",COUNTIFS(Students!H:H, A828, Students!D:D, "&gt;=0"))</f>
        <v/>
      </c>
      <c r="H828" s="4" t="str">
        <f t="shared" si="24"/>
        <v/>
      </c>
      <c r="I828" s="30" t="str">
        <f t="shared" si="25"/>
        <v/>
      </c>
    </row>
    <row r="829" spans="6:9" x14ac:dyDescent="0.2">
      <c r="F829" s="4" t="str">
        <f>IF(LEN(TRIM(A829))=0,"",COUNTIFS(Students!H:H, A829))</f>
        <v/>
      </c>
      <c r="G829" s="4" t="str">
        <f>IF(LEN(TRIM(A829))=0,"",COUNTIFS(Students!H:H, A829, Students!D:D, "&gt;=0"))</f>
        <v/>
      </c>
      <c r="H829" s="4" t="str">
        <f t="shared" si="24"/>
        <v/>
      </c>
      <c r="I829" s="30" t="str">
        <f t="shared" si="25"/>
        <v/>
      </c>
    </row>
    <row r="830" spans="6:9" x14ac:dyDescent="0.2">
      <c r="F830" s="4" t="str">
        <f>IF(LEN(TRIM(A830))=0,"",COUNTIFS(Students!H:H, A830))</f>
        <v/>
      </c>
      <c r="G830" s="4" t="str">
        <f>IF(LEN(TRIM(A830))=0,"",COUNTIFS(Students!H:H, A830, Students!D:D, "&gt;=0"))</f>
        <v/>
      </c>
      <c r="H830" s="4" t="str">
        <f t="shared" si="24"/>
        <v/>
      </c>
      <c r="I830" s="30" t="str">
        <f t="shared" si="25"/>
        <v/>
      </c>
    </row>
    <row r="831" spans="6:9" x14ac:dyDescent="0.2">
      <c r="F831" s="4" t="str">
        <f>IF(LEN(TRIM(A831))=0,"",COUNTIFS(Students!H:H, A831))</f>
        <v/>
      </c>
      <c r="G831" s="4" t="str">
        <f>IF(LEN(TRIM(A831))=0,"",COUNTIFS(Students!H:H, A831, Students!D:D, "&gt;=0"))</f>
        <v/>
      </c>
      <c r="H831" s="4" t="str">
        <f t="shared" si="24"/>
        <v/>
      </c>
      <c r="I831" s="30" t="str">
        <f t="shared" si="25"/>
        <v/>
      </c>
    </row>
    <row r="832" spans="6:9" x14ac:dyDescent="0.2">
      <c r="F832" s="4" t="str">
        <f>IF(LEN(TRIM(A832))=0,"",COUNTIFS(Students!H:H, A832))</f>
        <v/>
      </c>
      <c r="G832" s="4" t="str">
        <f>IF(LEN(TRIM(A832))=0,"",COUNTIFS(Students!H:H, A832, Students!D:D, "&gt;=0"))</f>
        <v/>
      </c>
      <c r="H832" s="4" t="str">
        <f t="shared" si="24"/>
        <v/>
      </c>
      <c r="I832" s="30" t="str">
        <f t="shared" si="25"/>
        <v/>
      </c>
    </row>
    <row r="833" spans="6:9" x14ac:dyDescent="0.2">
      <c r="F833" s="4" t="str">
        <f>IF(LEN(TRIM(A833))=0,"",COUNTIFS(Students!H:H, A833))</f>
        <v/>
      </c>
      <c r="G833" s="4" t="str">
        <f>IF(LEN(TRIM(A833))=0,"",COUNTIFS(Students!H:H, A833, Students!D:D, "&gt;=0"))</f>
        <v/>
      </c>
      <c r="H833" s="4" t="str">
        <f t="shared" si="24"/>
        <v/>
      </c>
      <c r="I833" s="30" t="str">
        <f t="shared" si="25"/>
        <v/>
      </c>
    </row>
    <row r="834" spans="6:9" x14ac:dyDescent="0.2">
      <c r="F834" s="4" t="str">
        <f>IF(LEN(TRIM(A834))=0,"",COUNTIFS(Students!H:H, A834))</f>
        <v/>
      </c>
      <c r="G834" s="4" t="str">
        <f>IF(LEN(TRIM(A834))=0,"",COUNTIFS(Students!H:H, A834, Students!D:D, "&gt;=0"))</f>
        <v/>
      </c>
      <c r="H834" s="4" t="str">
        <f t="shared" si="24"/>
        <v/>
      </c>
      <c r="I834" s="30" t="str">
        <f t="shared" si="25"/>
        <v/>
      </c>
    </row>
    <row r="835" spans="6:9" x14ac:dyDescent="0.2">
      <c r="F835" s="4" t="str">
        <f>IF(LEN(TRIM(A835))=0,"",COUNTIFS(Students!H:H, A835))</f>
        <v/>
      </c>
      <c r="G835" s="4" t="str">
        <f>IF(LEN(TRIM(A835))=0,"",COUNTIFS(Students!H:H, A835, Students!D:D, "&gt;=0"))</f>
        <v/>
      </c>
      <c r="H835" s="4" t="str">
        <f t="shared" ref="H835:H898" si="26">IFERROR(F835-G835,"")</f>
        <v/>
      </c>
      <c r="I835" s="30" t="str">
        <f t="shared" ref="I835:I898" si="27">IFERROR(IF(F835=0, "N/A", G835/F835),"")</f>
        <v/>
      </c>
    </row>
    <row r="836" spans="6:9" x14ac:dyDescent="0.2">
      <c r="F836" s="4" t="str">
        <f>IF(LEN(TRIM(A836))=0,"",COUNTIFS(Students!H:H, A836))</f>
        <v/>
      </c>
      <c r="G836" s="4" t="str">
        <f>IF(LEN(TRIM(A836))=0,"",COUNTIFS(Students!H:H, A836, Students!D:D, "&gt;=0"))</f>
        <v/>
      </c>
      <c r="H836" s="4" t="str">
        <f t="shared" si="26"/>
        <v/>
      </c>
      <c r="I836" s="30" t="str">
        <f t="shared" si="27"/>
        <v/>
      </c>
    </row>
    <row r="837" spans="6:9" x14ac:dyDescent="0.2">
      <c r="F837" s="4" t="str">
        <f>IF(LEN(TRIM(A837))=0,"",COUNTIFS(Students!H:H, A837))</f>
        <v/>
      </c>
      <c r="G837" s="4" t="str">
        <f>IF(LEN(TRIM(A837))=0,"",COUNTIFS(Students!H:H, A837, Students!D:D, "&gt;=0"))</f>
        <v/>
      </c>
      <c r="H837" s="4" t="str">
        <f t="shared" si="26"/>
        <v/>
      </c>
      <c r="I837" s="30" t="str">
        <f t="shared" si="27"/>
        <v/>
      </c>
    </row>
    <row r="838" spans="6:9" x14ac:dyDescent="0.2">
      <c r="F838" s="4" t="str">
        <f>IF(LEN(TRIM(A838))=0,"",COUNTIFS(Students!H:H, A838))</f>
        <v/>
      </c>
      <c r="G838" s="4" t="str">
        <f>IF(LEN(TRIM(A838))=0,"",COUNTIFS(Students!H:H, A838, Students!D:D, "&gt;=0"))</f>
        <v/>
      </c>
      <c r="H838" s="4" t="str">
        <f t="shared" si="26"/>
        <v/>
      </c>
      <c r="I838" s="30" t="str">
        <f t="shared" si="27"/>
        <v/>
      </c>
    </row>
    <row r="839" spans="6:9" x14ac:dyDescent="0.2">
      <c r="F839" s="4" t="str">
        <f>IF(LEN(TRIM(A839))=0,"",COUNTIFS(Students!H:H, A839))</f>
        <v/>
      </c>
      <c r="G839" s="4" t="str">
        <f>IF(LEN(TRIM(A839))=0,"",COUNTIFS(Students!H:H, A839, Students!D:D, "&gt;=0"))</f>
        <v/>
      </c>
      <c r="H839" s="4" t="str">
        <f t="shared" si="26"/>
        <v/>
      </c>
      <c r="I839" s="30" t="str">
        <f t="shared" si="27"/>
        <v/>
      </c>
    </row>
    <row r="840" spans="6:9" x14ac:dyDescent="0.2">
      <c r="F840" s="4" t="str">
        <f>IF(LEN(TRIM(A840))=0,"",COUNTIFS(Students!H:H, A840))</f>
        <v/>
      </c>
      <c r="G840" s="4" t="str">
        <f>IF(LEN(TRIM(A840))=0,"",COUNTIFS(Students!H:H, A840, Students!D:D, "&gt;=0"))</f>
        <v/>
      </c>
      <c r="H840" s="4" t="str">
        <f t="shared" si="26"/>
        <v/>
      </c>
      <c r="I840" s="30" t="str">
        <f t="shared" si="27"/>
        <v/>
      </c>
    </row>
    <row r="841" spans="6:9" x14ac:dyDescent="0.2">
      <c r="F841" s="4" t="str">
        <f>IF(LEN(TRIM(A841))=0,"",COUNTIFS(Students!H:H, A841))</f>
        <v/>
      </c>
      <c r="G841" s="4" t="str">
        <f>IF(LEN(TRIM(A841))=0,"",COUNTIFS(Students!H:H, A841, Students!D:D, "&gt;=0"))</f>
        <v/>
      </c>
      <c r="H841" s="4" t="str">
        <f t="shared" si="26"/>
        <v/>
      </c>
      <c r="I841" s="30" t="str">
        <f t="shared" si="27"/>
        <v/>
      </c>
    </row>
    <row r="842" spans="6:9" x14ac:dyDescent="0.2">
      <c r="F842" s="4" t="str">
        <f>IF(LEN(TRIM(A842))=0,"",COUNTIFS(Students!H:H, A842))</f>
        <v/>
      </c>
      <c r="G842" s="4" t="str">
        <f>IF(LEN(TRIM(A842))=0,"",COUNTIFS(Students!H:H, A842, Students!D:D, "&gt;=0"))</f>
        <v/>
      </c>
      <c r="H842" s="4" t="str">
        <f t="shared" si="26"/>
        <v/>
      </c>
      <c r="I842" s="30" t="str">
        <f t="shared" si="27"/>
        <v/>
      </c>
    </row>
    <row r="843" spans="6:9" x14ac:dyDescent="0.2">
      <c r="F843" s="4" t="str">
        <f>IF(LEN(TRIM(A843))=0,"",COUNTIFS(Students!H:H, A843))</f>
        <v/>
      </c>
      <c r="G843" s="4" t="str">
        <f>IF(LEN(TRIM(A843))=0,"",COUNTIFS(Students!H:H, A843, Students!D:D, "&gt;=0"))</f>
        <v/>
      </c>
      <c r="H843" s="4" t="str">
        <f t="shared" si="26"/>
        <v/>
      </c>
      <c r="I843" s="30" t="str">
        <f t="shared" si="27"/>
        <v/>
      </c>
    </row>
    <row r="844" spans="6:9" x14ac:dyDescent="0.2">
      <c r="F844" s="4" t="str">
        <f>IF(LEN(TRIM(A844))=0,"",COUNTIFS(Students!H:H, A844))</f>
        <v/>
      </c>
      <c r="G844" s="4" t="str">
        <f>IF(LEN(TRIM(A844))=0,"",COUNTIFS(Students!H:H, A844, Students!D:D, "&gt;=0"))</f>
        <v/>
      </c>
      <c r="H844" s="4" t="str">
        <f t="shared" si="26"/>
        <v/>
      </c>
      <c r="I844" s="30" t="str">
        <f t="shared" si="27"/>
        <v/>
      </c>
    </row>
    <row r="845" spans="6:9" x14ac:dyDescent="0.2">
      <c r="F845" s="4" t="str">
        <f>IF(LEN(TRIM(A845))=0,"",COUNTIFS(Students!H:H, A845))</f>
        <v/>
      </c>
      <c r="G845" s="4" t="str">
        <f>IF(LEN(TRIM(A845))=0,"",COUNTIFS(Students!H:H, A845, Students!D:D, "&gt;=0"))</f>
        <v/>
      </c>
      <c r="H845" s="4" t="str">
        <f t="shared" si="26"/>
        <v/>
      </c>
      <c r="I845" s="30" t="str">
        <f t="shared" si="27"/>
        <v/>
      </c>
    </row>
    <row r="846" spans="6:9" x14ac:dyDescent="0.2">
      <c r="F846" s="4" t="str">
        <f>IF(LEN(TRIM(A846))=0,"",COUNTIFS(Students!H:H, A846))</f>
        <v/>
      </c>
      <c r="G846" s="4" t="str">
        <f>IF(LEN(TRIM(A846))=0,"",COUNTIFS(Students!H:H, A846, Students!D:D, "&gt;=0"))</f>
        <v/>
      </c>
      <c r="H846" s="4" t="str">
        <f t="shared" si="26"/>
        <v/>
      </c>
      <c r="I846" s="30" t="str">
        <f t="shared" si="27"/>
        <v/>
      </c>
    </row>
    <row r="847" spans="6:9" x14ac:dyDescent="0.2">
      <c r="F847" s="4" t="str">
        <f>IF(LEN(TRIM(A847))=0,"",COUNTIFS(Students!H:H, A847))</f>
        <v/>
      </c>
      <c r="G847" s="4" t="str">
        <f>IF(LEN(TRIM(A847))=0,"",COUNTIFS(Students!H:H, A847, Students!D:D, "&gt;=0"))</f>
        <v/>
      </c>
      <c r="H847" s="4" t="str">
        <f t="shared" si="26"/>
        <v/>
      </c>
      <c r="I847" s="30" t="str">
        <f t="shared" si="27"/>
        <v/>
      </c>
    </row>
    <row r="848" spans="6:9" x14ac:dyDescent="0.2">
      <c r="F848" s="4" t="str">
        <f>IF(LEN(TRIM(A848))=0,"",COUNTIFS(Students!H:H, A848))</f>
        <v/>
      </c>
      <c r="G848" s="4" t="str">
        <f>IF(LEN(TRIM(A848))=0,"",COUNTIFS(Students!H:H, A848, Students!D:D, "&gt;=0"))</f>
        <v/>
      </c>
      <c r="H848" s="4" t="str">
        <f t="shared" si="26"/>
        <v/>
      </c>
      <c r="I848" s="30" t="str">
        <f t="shared" si="27"/>
        <v/>
      </c>
    </row>
    <row r="849" spans="6:9" x14ac:dyDescent="0.2">
      <c r="F849" s="4" t="str">
        <f>IF(LEN(TRIM(A849))=0,"",COUNTIFS(Students!H:H, A849))</f>
        <v/>
      </c>
      <c r="G849" s="4" t="str">
        <f>IF(LEN(TRIM(A849))=0,"",COUNTIFS(Students!H:H, A849, Students!D:D, "&gt;=0"))</f>
        <v/>
      </c>
      <c r="H849" s="4" t="str">
        <f t="shared" si="26"/>
        <v/>
      </c>
      <c r="I849" s="30" t="str">
        <f t="shared" si="27"/>
        <v/>
      </c>
    </row>
    <row r="850" spans="6:9" x14ac:dyDescent="0.2">
      <c r="F850" s="4" t="str">
        <f>IF(LEN(TRIM(A850))=0,"",COUNTIFS(Students!H:H, A850))</f>
        <v/>
      </c>
      <c r="G850" s="4" t="str">
        <f>IF(LEN(TRIM(A850))=0,"",COUNTIFS(Students!H:H, A850, Students!D:D, "&gt;=0"))</f>
        <v/>
      </c>
      <c r="H850" s="4" t="str">
        <f t="shared" si="26"/>
        <v/>
      </c>
      <c r="I850" s="30" t="str">
        <f t="shared" si="27"/>
        <v/>
      </c>
    </row>
    <row r="851" spans="6:9" x14ac:dyDescent="0.2">
      <c r="F851" s="4" t="str">
        <f>IF(LEN(TRIM(A851))=0,"",COUNTIFS(Students!H:H, A851))</f>
        <v/>
      </c>
      <c r="G851" s="4" t="str">
        <f>IF(LEN(TRIM(A851))=0,"",COUNTIFS(Students!H:H, A851, Students!D:D, "&gt;=0"))</f>
        <v/>
      </c>
      <c r="H851" s="4" t="str">
        <f t="shared" si="26"/>
        <v/>
      </c>
      <c r="I851" s="30" t="str">
        <f t="shared" si="27"/>
        <v/>
      </c>
    </row>
    <row r="852" spans="6:9" x14ac:dyDescent="0.2">
      <c r="F852" s="4" t="str">
        <f>IF(LEN(TRIM(A852))=0,"",COUNTIFS(Students!H:H, A852))</f>
        <v/>
      </c>
      <c r="G852" s="4" t="str">
        <f>IF(LEN(TRIM(A852))=0,"",COUNTIFS(Students!H:H, A852, Students!D:D, "&gt;=0"))</f>
        <v/>
      </c>
      <c r="H852" s="4" t="str">
        <f t="shared" si="26"/>
        <v/>
      </c>
      <c r="I852" s="30" t="str">
        <f t="shared" si="27"/>
        <v/>
      </c>
    </row>
    <row r="853" spans="6:9" x14ac:dyDescent="0.2">
      <c r="F853" s="4" t="str">
        <f>IF(LEN(TRIM(A853))=0,"",COUNTIFS(Students!H:H, A853))</f>
        <v/>
      </c>
      <c r="G853" s="4" t="str">
        <f>IF(LEN(TRIM(A853))=0,"",COUNTIFS(Students!H:H, A853, Students!D:D, "&gt;=0"))</f>
        <v/>
      </c>
      <c r="H853" s="4" t="str">
        <f t="shared" si="26"/>
        <v/>
      </c>
      <c r="I853" s="30" t="str">
        <f t="shared" si="27"/>
        <v/>
      </c>
    </row>
    <row r="854" spans="6:9" x14ac:dyDescent="0.2">
      <c r="F854" s="4" t="str">
        <f>IF(LEN(TRIM(A854))=0,"",COUNTIFS(Students!H:H, A854))</f>
        <v/>
      </c>
      <c r="G854" s="4" t="str">
        <f>IF(LEN(TRIM(A854))=0,"",COUNTIFS(Students!H:H, A854, Students!D:D, "&gt;=0"))</f>
        <v/>
      </c>
      <c r="H854" s="4" t="str">
        <f t="shared" si="26"/>
        <v/>
      </c>
      <c r="I854" s="30" t="str">
        <f t="shared" si="27"/>
        <v/>
      </c>
    </row>
    <row r="855" spans="6:9" x14ac:dyDescent="0.2">
      <c r="F855" s="4" t="str">
        <f>IF(LEN(TRIM(A855))=0,"",COUNTIFS(Students!H:H, A855))</f>
        <v/>
      </c>
      <c r="G855" s="4" t="str">
        <f>IF(LEN(TRIM(A855))=0,"",COUNTIFS(Students!H:H, A855, Students!D:D, "&gt;=0"))</f>
        <v/>
      </c>
      <c r="H855" s="4" t="str">
        <f t="shared" si="26"/>
        <v/>
      </c>
      <c r="I855" s="30" t="str">
        <f t="shared" si="27"/>
        <v/>
      </c>
    </row>
    <row r="856" spans="6:9" x14ac:dyDescent="0.2">
      <c r="F856" s="4" t="str">
        <f>IF(LEN(TRIM(A856))=0,"",COUNTIFS(Students!H:H, A856))</f>
        <v/>
      </c>
      <c r="G856" s="4" t="str">
        <f>IF(LEN(TRIM(A856))=0,"",COUNTIFS(Students!H:H, A856, Students!D:D, "&gt;=0"))</f>
        <v/>
      </c>
      <c r="H856" s="4" t="str">
        <f t="shared" si="26"/>
        <v/>
      </c>
      <c r="I856" s="30" t="str">
        <f t="shared" si="27"/>
        <v/>
      </c>
    </row>
    <row r="857" spans="6:9" x14ac:dyDescent="0.2">
      <c r="F857" s="4" t="str">
        <f>IF(LEN(TRIM(A857))=0,"",COUNTIFS(Students!H:H, A857))</f>
        <v/>
      </c>
      <c r="G857" s="4" t="str">
        <f>IF(LEN(TRIM(A857))=0,"",COUNTIFS(Students!H:H, A857, Students!D:D, "&gt;=0"))</f>
        <v/>
      </c>
      <c r="H857" s="4" t="str">
        <f t="shared" si="26"/>
        <v/>
      </c>
      <c r="I857" s="30" t="str">
        <f t="shared" si="27"/>
        <v/>
      </c>
    </row>
    <row r="858" spans="6:9" x14ac:dyDescent="0.2">
      <c r="F858" s="4" t="str">
        <f>IF(LEN(TRIM(A858))=0,"",COUNTIFS(Students!H:H, A858))</f>
        <v/>
      </c>
      <c r="G858" s="4" t="str">
        <f>IF(LEN(TRIM(A858))=0,"",COUNTIFS(Students!H:H, A858, Students!D:D, "&gt;=0"))</f>
        <v/>
      </c>
      <c r="H858" s="4" t="str">
        <f t="shared" si="26"/>
        <v/>
      </c>
      <c r="I858" s="30" t="str">
        <f t="shared" si="27"/>
        <v/>
      </c>
    </row>
    <row r="859" spans="6:9" x14ac:dyDescent="0.2">
      <c r="F859" s="4" t="str">
        <f>IF(LEN(TRIM(A859))=0,"",COUNTIFS(Students!H:H, A859))</f>
        <v/>
      </c>
      <c r="G859" s="4" t="str">
        <f>IF(LEN(TRIM(A859))=0,"",COUNTIFS(Students!H:H, A859, Students!D:D, "&gt;=0"))</f>
        <v/>
      </c>
      <c r="H859" s="4" t="str">
        <f t="shared" si="26"/>
        <v/>
      </c>
      <c r="I859" s="30" t="str">
        <f t="shared" si="27"/>
        <v/>
      </c>
    </row>
    <row r="860" spans="6:9" x14ac:dyDescent="0.2">
      <c r="F860" s="4" t="str">
        <f>IF(LEN(TRIM(A860))=0,"",COUNTIFS(Students!H:H, A860))</f>
        <v/>
      </c>
      <c r="G860" s="4" t="str">
        <f>IF(LEN(TRIM(A860))=0,"",COUNTIFS(Students!H:H, A860, Students!D:D, "&gt;=0"))</f>
        <v/>
      </c>
      <c r="H860" s="4" t="str">
        <f t="shared" si="26"/>
        <v/>
      </c>
      <c r="I860" s="30" t="str">
        <f t="shared" si="27"/>
        <v/>
      </c>
    </row>
    <row r="861" spans="6:9" x14ac:dyDescent="0.2">
      <c r="F861" s="4" t="str">
        <f>IF(LEN(TRIM(A861))=0,"",COUNTIFS(Students!H:H, A861))</f>
        <v/>
      </c>
      <c r="G861" s="4" t="str">
        <f>IF(LEN(TRIM(A861))=0,"",COUNTIFS(Students!H:H, A861, Students!D:D, "&gt;=0"))</f>
        <v/>
      </c>
      <c r="H861" s="4" t="str">
        <f t="shared" si="26"/>
        <v/>
      </c>
      <c r="I861" s="30" t="str">
        <f t="shared" si="27"/>
        <v/>
      </c>
    </row>
    <row r="862" spans="6:9" x14ac:dyDescent="0.2">
      <c r="F862" s="4" t="str">
        <f>IF(LEN(TRIM(A862))=0,"",COUNTIFS(Students!H:H, A862))</f>
        <v/>
      </c>
      <c r="G862" s="4" t="str">
        <f>IF(LEN(TRIM(A862))=0,"",COUNTIFS(Students!H:H, A862, Students!D:D, "&gt;=0"))</f>
        <v/>
      </c>
      <c r="H862" s="4" t="str">
        <f t="shared" si="26"/>
        <v/>
      </c>
      <c r="I862" s="30" t="str">
        <f t="shared" si="27"/>
        <v/>
      </c>
    </row>
    <row r="863" spans="6:9" x14ac:dyDescent="0.2">
      <c r="F863" s="4" t="str">
        <f>IF(LEN(TRIM(A863))=0,"",COUNTIFS(Students!H:H, A863))</f>
        <v/>
      </c>
      <c r="G863" s="4" t="str">
        <f>IF(LEN(TRIM(A863))=0,"",COUNTIFS(Students!H:H, A863, Students!D:D, "&gt;=0"))</f>
        <v/>
      </c>
      <c r="H863" s="4" t="str">
        <f t="shared" si="26"/>
        <v/>
      </c>
      <c r="I863" s="30" t="str">
        <f t="shared" si="27"/>
        <v/>
      </c>
    </row>
    <row r="864" spans="6:9" x14ac:dyDescent="0.2">
      <c r="F864" s="4" t="str">
        <f>IF(LEN(TRIM(A864))=0,"",COUNTIFS(Students!H:H, A864))</f>
        <v/>
      </c>
      <c r="G864" s="4" t="str">
        <f>IF(LEN(TRIM(A864))=0,"",COUNTIFS(Students!H:H, A864, Students!D:D, "&gt;=0"))</f>
        <v/>
      </c>
      <c r="H864" s="4" t="str">
        <f t="shared" si="26"/>
        <v/>
      </c>
      <c r="I864" s="30" t="str">
        <f t="shared" si="27"/>
        <v/>
      </c>
    </row>
    <row r="865" spans="6:9" x14ac:dyDescent="0.2">
      <c r="F865" s="4" t="str">
        <f>IF(LEN(TRIM(A865))=0,"",COUNTIFS(Students!H:H, A865))</f>
        <v/>
      </c>
      <c r="G865" s="4" t="str">
        <f>IF(LEN(TRIM(A865))=0,"",COUNTIFS(Students!H:H, A865, Students!D:D, "&gt;=0"))</f>
        <v/>
      </c>
      <c r="H865" s="4" t="str">
        <f t="shared" si="26"/>
        <v/>
      </c>
      <c r="I865" s="30" t="str">
        <f t="shared" si="27"/>
        <v/>
      </c>
    </row>
    <row r="866" spans="6:9" x14ac:dyDescent="0.2">
      <c r="F866" s="4" t="str">
        <f>IF(LEN(TRIM(A866))=0,"",COUNTIFS(Students!H:H, A866))</f>
        <v/>
      </c>
      <c r="G866" s="4" t="str">
        <f>IF(LEN(TRIM(A866))=0,"",COUNTIFS(Students!H:H, A866, Students!D:D, "&gt;=0"))</f>
        <v/>
      </c>
      <c r="H866" s="4" t="str">
        <f t="shared" si="26"/>
        <v/>
      </c>
      <c r="I866" s="30" t="str">
        <f t="shared" si="27"/>
        <v/>
      </c>
    </row>
    <row r="867" spans="6:9" x14ac:dyDescent="0.2">
      <c r="F867" s="4" t="str">
        <f>IF(LEN(TRIM(A867))=0,"",COUNTIFS(Students!H:H, A867))</f>
        <v/>
      </c>
      <c r="G867" s="4" t="str">
        <f>IF(LEN(TRIM(A867))=0,"",COUNTIFS(Students!H:H, A867, Students!D:D, "&gt;=0"))</f>
        <v/>
      </c>
      <c r="H867" s="4" t="str">
        <f t="shared" si="26"/>
        <v/>
      </c>
      <c r="I867" s="30" t="str">
        <f t="shared" si="27"/>
        <v/>
      </c>
    </row>
    <row r="868" spans="6:9" x14ac:dyDescent="0.2">
      <c r="F868" s="4" t="str">
        <f>IF(LEN(TRIM(A868))=0,"",COUNTIFS(Students!H:H, A868))</f>
        <v/>
      </c>
      <c r="G868" s="4" t="str">
        <f>IF(LEN(TRIM(A868))=0,"",COUNTIFS(Students!H:H, A868, Students!D:D, "&gt;=0"))</f>
        <v/>
      </c>
      <c r="H868" s="4" t="str">
        <f t="shared" si="26"/>
        <v/>
      </c>
      <c r="I868" s="30" t="str">
        <f t="shared" si="27"/>
        <v/>
      </c>
    </row>
    <row r="869" spans="6:9" x14ac:dyDescent="0.2">
      <c r="F869" s="4" t="str">
        <f>IF(LEN(TRIM(A869))=0,"",COUNTIFS(Students!H:H, A869))</f>
        <v/>
      </c>
      <c r="G869" s="4" t="str">
        <f>IF(LEN(TRIM(A869))=0,"",COUNTIFS(Students!H:H, A869, Students!D:D, "&gt;=0"))</f>
        <v/>
      </c>
      <c r="H869" s="4" t="str">
        <f t="shared" si="26"/>
        <v/>
      </c>
      <c r="I869" s="30" t="str">
        <f t="shared" si="27"/>
        <v/>
      </c>
    </row>
    <row r="870" spans="6:9" x14ac:dyDescent="0.2">
      <c r="F870" s="4" t="str">
        <f>IF(LEN(TRIM(A870))=0,"",COUNTIFS(Students!H:H, A870))</f>
        <v/>
      </c>
      <c r="G870" s="4" t="str">
        <f>IF(LEN(TRIM(A870))=0,"",COUNTIFS(Students!H:H, A870, Students!D:D, "&gt;=0"))</f>
        <v/>
      </c>
      <c r="H870" s="4" t="str">
        <f t="shared" si="26"/>
        <v/>
      </c>
      <c r="I870" s="30" t="str">
        <f t="shared" si="27"/>
        <v/>
      </c>
    </row>
    <row r="871" spans="6:9" x14ac:dyDescent="0.2">
      <c r="F871" s="4" t="str">
        <f>IF(LEN(TRIM(A871))=0,"",COUNTIFS(Students!H:H, A871))</f>
        <v/>
      </c>
      <c r="G871" s="4" t="str">
        <f>IF(LEN(TRIM(A871))=0,"",COUNTIFS(Students!H:H, A871, Students!D:D, "&gt;=0"))</f>
        <v/>
      </c>
      <c r="H871" s="4" t="str">
        <f t="shared" si="26"/>
        <v/>
      </c>
      <c r="I871" s="30" t="str">
        <f t="shared" si="27"/>
        <v/>
      </c>
    </row>
    <row r="872" spans="6:9" x14ac:dyDescent="0.2">
      <c r="F872" s="4" t="str">
        <f>IF(LEN(TRIM(A872))=0,"",COUNTIFS(Students!H:H, A872))</f>
        <v/>
      </c>
      <c r="G872" s="4" t="str">
        <f>IF(LEN(TRIM(A872))=0,"",COUNTIFS(Students!H:H, A872, Students!D:D, "&gt;=0"))</f>
        <v/>
      </c>
      <c r="H872" s="4" t="str">
        <f t="shared" si="26"/>
        <v/>
      </c>
      <c r="I872" s="30" t="str">
        <f t="shared" si="27"/>
        <v/>
      </c>
    </row>
    <row r="873" spans="6:9" x14ac:dyDescent="0.2">
      <c r="F873" s="4" t="str">
        <f>IF(LEN(TRIM(A873))=0,"",COUNTIFS(Students!H:H, A873))</f>
        <v/>
      </c>
      <c r="G873" s="4" t="str">
        <f>IF(LEN(TRIM(A873))=0,"",COUNTIFS(Students!H:H, A873, Students!D:D, "&gt;=0"))</f>
        <v/>
      </c>
      <c r="H873" s="4" t="str">
        <f t="shared" si="26"/>
        <v/>
      </c>
      <c r="I873" s="30" t="str">
        <f t="shared" si="27"/>
        <v/>
      </c>
    </row>
    <row r="874" spans="6:9" x14ac:dyDescent="0.2">
      <c r="F874" s="4" t="str">
        <f>IF(LEN(TRIM(A874))=0,"",COUNTIFS(Students!H:H, A874))</f>
        <v/>
      </c>
      <c r="G874" s="4" t="str">
        <f>IF(LEN(TRIM(A874))=0,"",COUNTIFS(Students!H:H, A874, Students!D:D, "&gt;=0"))</f>
        <v/>
      </c>
      <c r="H874" s="4" t="str">
        <f t="shared" si="26"/>
        <v/>
      </c>
      <c r="I874" s="30" t="str">
        <f t="shared" si="27"/>
        <v/>
      </c>
    </row>
    <row r="875" spans="6:9" x14ac:dyDescent="0.2">
      <c r="F875" s="4" t="str">
        <f>IF(LEN(TRIM(A875))=0,"",COUNTIFS(Students!H:H, A875))</f>
        <v/>
      </c>
      <c r="G875" s="4" t="str">
        <f>IF(LEN(TRIM(A875))=0,"",COUNTIFS(Students!H:H, A875, Students!D:D, "&gt;=0"))</f>
        <v/>
      </c>
      <c r="H875" s="4" t="str">
        <f t="shared" si="26"/>
        <v/>
      </c>
      <c r="I875" s="30" t="str">
        <f t="shared" si="27"/>
        <v/>
      </c>
    </row>
    <row r="876" spans="6:9" x14ac:dyDescent="0.2">
      <c r="F876" s="4" t="str">
        <f>IF(LEN(TRIM(A876))=0,"",COUNTIFS(Students!H:H, A876))</f>
        <v/>
      </c>
      <c r="G876" s="4" t="str">
        <f>IF(LEN(TRIM(A876))=0,"",COUNTIFS(Students!H:H, A876, Students!D:D, "&gt;=0"))</f>
        <v/>
      </c>
      <c r="H876" s="4" t="str">
        <f t="shared" si="26"/>
        <v/>
      </c>
      <c r="I876" s="30" t="str">
        <f t="shared" si="27"/>
        <v/>
      </c>
    </row>
    <row r="877" spans="6:9" x14ac:dyDescent="0.2">
      <c r="F877" s="4" t="str">
        <f>IF(LEN(TRIM(A877))=0,"",COUNTIFS(Students!H:H, A877))</f>
        <v/>
      </c>
      <c r="G877" s="4" t="str">
        <f>IF(LEN(TRIM(A877))=0,"",COUNTIFS(Students!H:H, A877, Students!D:D, "&gt;=0"))</f>
        <v/>
      </c>
      <c r="H877" s="4" t="str">
        <f t="shared" si="26"/>
        <v/>
      </c>
      <c r="I877" s="30" t="str">
        <f t="shared" si="27"/>
        <v/>
      </c>
    </row>
    <row r="878" spans="6:9" x14ac:dyDescent="0.2">
      <c r="F878" s="4" t="str">
        <f>IF(LEN(TRIM(A878))=0,"",COUNTIFS(Students!H:H, A878))</f>
        <v/>
      </c>
      <c r="G878" s="4" t="str">
        <f>IF(LEN(TRIM(A878))=0,"",COUNTIFS(Students!H:H, A878, Students!D:D, "&gt;=0"))</f>
        <v/>
      </c>
      <c r="H878" s="4" t="str">
        <f t="shared" si="26"/>
        <v/>
      </c>
      <c r="I878" s="30" t="str">
        <f t="shared" si="27"/>
        <v/>
      </c>
    </row>
    <row r="879" spans="6:9" x14ac:dyDescent="0.2">
      <c r="F879" s="4" t="str">
        <f>IF(LEN(TRIM(A879))=0,"",COUNTIFS(Students!H:H, A879))</f>
        <v/>
      </c>
      <c r="G879" s="4" t="str">
        <f>IF(LEN(TRIM(A879))=0,"",COUNTIFS(Students!H:H, A879, Students!D:D, "&gt;=0"))</f>
        <v/>
      </c>
      <c r="H879" s="4" t="str">
        <f t="shared" si="26"/>
        <v/>
      </c>
      <c r="I879" s="30" t="str">
        <f t="shared" si="27"/>
        <v/>
      </c>
    </row>
    <row r="880" spans="6:9" x14ac:dyDescent="0.2">
      <c r="F880" s="4" t="str">
        <f>IF(LEN(TRIM(A880))=0,"",COUNTIFS(Students!H:H, A880))</f>
        <v/>
      </c>
      <c r="G880" s="4" t="str">
        <f>IF(LEN(TRIM(A880))=0,"",COUNTIFS(Students!H:H, A880, Students!D:D, "&gt;=0"))</f>
        <v/>
      </c>
      <c r="H880" s="4" t="str">
        <f t="shared" si="26"/>
        <v/>
      </c>
      <c r="I880" s="30" t="str">
        <f t="shared" si="27"/>
        <v/>
      </c>
    </row>
    <row r="881" spans="6:9" x14ac:dyDescent="0.2">
      <c r="F881" s="4" t="str">
        <f>IF(LEN(TRIM(A881))=0,"",COUNTIFS(Students!H:H, A881))</f>
        <v/>
      </c>
      <c r="G881" s="4" t="str">
        <f>IF(LEN(TRIM(A881))=0,"",COUNTIFS(Students!H:H, A881, Students!D:D, "&gt;=0"))</f>
        <v/>
      </c>
      <c r="H881" s="4" t="str">
        <f t="shared" si="26"/>
        <v/>
      </c>
      <c r="I881" s="30" t="str">
        <f t="shared" si="27"/>
        <v/>
      </c>
    </row>
    <row r="882" spans="6:9" x14ac:dyDescent="0.2">
      <c r="F882" s="4" t="str">
        <f>IF(LEN(TRIM(A882))=0,"",COUNTIFS(Students!H:H, A882))</f>
        <v/>
      </c>
      <c r="G882" s="4" t="str">
        <f>IF(LEN(TRIM(A882))=0,"",COUNTIFS(Students!H:H, A882, Students!D:D, "&gt;=0"))</f>
        <v/>
      </c>
      <c r="H882" s="4" t="str">
        <f t="shared" si="26"/>
        <v/>
      </c>
      <c r="I882" s="30" t="str">
        <f t="shared" si="27"/>
        <v/>
      </c>
    </row>
    <row r="883" spans="6:9" x14ac:dyDescent="0.2">
      <c r="F883" s="4" t="str">
        <f>IF(LEN(TRIM(A883))=0,"",COUNTIFS(Students!H:H, A883))</f>
        <v/>
      </c>
      <c r="G883" s="4" t="str">
        <f>IF(LEN(TRIM(A883))=0,"",COUNTIFS(Students!H:H, A883, Students!D:D, "&gt;=0"))</f>
        <v/>
      </c>
      <c r="H883" s="4" t="str">
        <f t="shared" si="26"/>
        <v/>
      </c>
      <c r="I883" s="30" t="str">
        <f t="shared" si="27"/>
        <v/>
      </c>
    </row>
    <row r="884" spans="6:9" x14ac:dyDescent="0.2">
      <c r="F884" s="4" t="str">
        <f>IF(LEN(TRIM(A884))=0,"",COUNTIFS(Students!H:H, A884))</f>
        <v/>
      </c>
      <c r="G884" s="4" t="str">
        <f>IF(LEN(TRIM(A884))=0,"",COUNTIFS(Students!H:H, A884, Students!D:D, "&gt;=0"))</f>
        <v/>
      </c>
      <c r="H884" s="4" t="str">
        <f t="shared" si="26"/>
        <v/>
      </c>
      <c r="I884" s="30" t="str">
        <f t="shared" si="27"/>
        <v/>
      </c>
    </row>
    <row r="885" spans="6:9" x14ac:dyDescent="0.2">
      <c r="F885" s="4" t="str">
        <f>IF(LEN(TRIM(A885))=0,"",COUNTIFS(Students!H:H, A885))</f>
        <v/>
      </c>
      <c r="G885" s="4" t="str">
        <f>IF(LEN(TRIM(A885))=0,"",COUNTIFS(Students!H:H, A885, Students!D:D, "&gt;=0"))</f>
        <v/>
      </c>
      <c r="H885" s="4" t="str">
        <f t="shared" si="26"/>
        <v/>
      </c>
      <c r="I885" s="30" t="str">
        <f t="shared" si="27"/>
        <v/>
      </c>
    </row>
    <row r="886" spans="6:9" x14ac:dyDescent="0.2">
      <c r="F886" s="4" t="str">
        <f>IF(LEN(TRIM(A886))=0,"",COUNTIFS(Students!H:H, A886))</f>
        <v/>
      </c>
      <c r="G886" s="4" t="str">
        <f>IF(LEN(TRIM(A886))=0,"",COUNTIFS(Students!H:H, A886, Students!D:D, "&gt;=0"))</f>
        <v/>
      </c>
      <c r="H886" s="4" t="str">
        <f t="shared" si="26"/>
        <v/>
      </c>
      <c r="I886" s="30" t="str">
        <f t="shared" si="27"/>
        <v/>
      </c>
    </row>
    <row r="887" spans="6:9" x14ac:dyDescent="0.2">
      <c r="F887" s="4" t="str">
        <f>IF(LEN(TRIM(A887))=0,"",COUNTIFS(Students!H:H, A887))</f>
        <v/>
      </c>
      <c r="G887" s="4" t="str">
        <f>IF(LEN(TRIM(A887))=0,"",COUNTIFS(Students!H:H, A887, Students!D:D, "&gt;=0"))</f>
        <v/>
      </c>
      <c r="H887" s="4" t="str">
        <f t="shared" si="26"/>
        <v/>
      </c>
      <c r="I887" s="30" t="str">
        <f t="shared" si="27"/>
        <v/>
      </c>
    </row>
    <row r="888" spans="6:9" x14ac:dyDescent="0.2">
      <c r="F888" s="4" t="str">
        <f>IF(LEN(TRIM(A888))=0,"",COUNTIFS(Students!H:H, A888))</f>
        <v/>
      </c>
      <c r="G888" s="4" t="str">
        <f>IF(LEN(TRIM(A888))=0,"",COUNTIFS(Students!H:H, A888, Students!D:D, "&gt;=0"))</f>
        <v/>
      </c>
      <c r="H888" s="4" t="str">
        <f t="shared" si="26"/>
        <v/>
      </c>
      <c r="I888" s="30" t="str">
        <f t="shared" si="27"/>
        <v/>
      </c>
    </row>
    <row r="889" spans="6:9" x14ac:dyDescent="0.2">
      <c r="F889" s="4" t="str">
        <f>IF(LEN(TRIM(A889))=0,"",COUNTIFS(Students!H:H, A889))</f>
        <v/>
      </c>
      <c r="G889" s="4" t="str">
        <f>IF(LEN(TRIM(A889))=0,"",COUNTIFS(Students!H:H, A889, Students!D:D, "&gt;=0"))</f>
        <v/>
      </c>
      <c r="H889" s="4" t="str">
        <f t="shared" si="26"/>
        <v/>
      </c>
      <c r="I889" s="30" t="str">
        <f t="shared" si="27"/>
        <v/>
      </c>
    </row>
    <row r="890" spans="6:9" x14ac:dyDescent="0.2">
      <c r="F890" s="4" t="str">
        <f>IF(LEN(TRIM(A890))=0,"",COUNTIFS(Students!H:H, A890))</f>
        <v/>
      </c>
      <c r="G890" s="4" t="str">
        <f>IF(LEN(TRIM(A890))=0,"",COUNTIFS(Students!H:H, A890, Students!D:D, "&gt;=0"))</f>
        <v/>
      </c>
      <c r="H890" s="4" t="str">
        <f t="shared" si="26"/>
        <v/>
      </c>
      <c r="I890" s="30" t="str">
        <f t="shared" si="27"/>
        <v/>
      </c>
    </row>
    <row r="891" spans="6:9" x14ac:dyDescent="0.2">
      <c r="F891" s="4" t="str">
        <f>IF(LEN(TRIM(A891))=0,"",COUNTIFS(Students!H:H, A891))</f>
        <v/>
      </c>
      <c r="G891" s="4" t="str">
        <f>IF(LEN(TRIM(A891))=0,"",COUNTIFS(Students!H:H, A891, Students!D:D, "&gt;=0"))</f>
        <v/>
      </c>
      <c r="H891" s="4" t="str">
        <f t="shared" si="26"/>
        <v/>
      </c>
      <c r="I891" s="30" t="str">
        <f t="shared" si="27"/>
        <v/>
      </c>
    </row>
    <row r="892" spans="6:9" x14ac:dyDescent="0.2">
      <c r="F892" s="4" t="str">
        <f>IF(LEN(TRIM(A892))=0,"",COUNTIFS(Students!H:H, A892))</f>
        <v/>
      </c>
      <c r="G892" s="4" t="str">
        <f>IF(LEN(TRIM(A892))=0,"",COUNTIFS(Students!H:H, A892, Students!D:D, "&gt;=0"))</f>
        <v/>
      </c>
      <c r="H892" s="4" t="str">
        <f t="shared" si="26"/>
        <v/>
      </c>
      <c r="I892" s="30" t="str">
        <f t="shared" si="27"/>
        <v/>
      </c>
    </row>
    <row r="893" spans="6:9" x14ac:dyDescent="0.2">
      <c r="F893" s="4" t="str">
        <f>IF(LEN(TRIM(A893))=0,"",COUNTIFS(Students!H:H, A893))</f>
        <v/>
      </c>
      <c r="G893" s="4" t="str">
        <f>IF(LEN(TRIM(A893))=0,"",COUNTIFS(Students!H:H, A893, Students!D:D, "&gt;=0"))</f>
        <v/>
      </c>
      <c r="H893" s="4" t="str">
        <f t="shared" si="26"/>
        <v/>
      </c>
      <c r="I893" s="30" t="str">
        <f t="shared" si="27"/>
        <v/>
      </c>
    </row>
    <row r="894" spans="6:9" x14ac:dyDescent="0.2">
      <c r="F894" s="4" t="str">
        <f>IF(LEN(TRIM(A894))=0,"",COUNTIFS(Students!H:H, A894))</f>
        <v/>
      </c>
      <c r="G894" s="4" t="str">
        <f>IF(LEN(TRIM(A894))=0,"",COUNTIFS(Students!H:H, A894, Students!D:D, "&gt;=0"))</f>
        <v/>
      </c>
      <c r="H894" s="4" t="str">
        <f t="shared" si="26"/>
        <v/>
      </c>
      <c r="I894" s="30" t="str">
        <f t="shared" si="27"/>
        <v/>
      </c>
    </row>
    <row r="895" spans="6:9" x14ac:dyDescent="0.2">
      <c r="F895" s="4" t="str">
        <f>IF(LEN(TRIM(A895))=0,"",COUNTIFS(Students!H:H, A895))</f>
        <v/>
      </c>
      <c r="G895" s="4" t="str">
        <f>IF(LEN(TRIM(A895))=0,"",COUNTIFS(Students!H:H, A895, Students!D:D, "&gt;=0"))</f>
        <v/>
      </c>
      <c r="H895" s="4" t="str">
        <f t="shared" si="26"/>
        <v/>
      </c>
      <c r="I895" s="30" t="str">
        <f t="shared" si="27"/>
        <v/>
      </c>
    </row>
    <row r="896" spans="6:9" x14ac:dyDescent="0.2">
      <c r="F896" s="4" t="str">
        <f>IF(LEN(TRIM(A896))=0,"",COUNTIFS(Students!H:H, A896))</f>
        <v/>
      </c>
      <c r="G896" s="4" t="str">
        <f>IF(LEN(TRIM(A896))=0,"",COUNTIFS(Students!H:H, A896, Students!D:D, "&gt;=0"))</f>
        <v/>
      </c>
      <c r="H896" s="4" t="str">
        <f t="shared" si="26"/>
        <v/>
      </c>
      <c r="I896" s="30" t="str">
        <f t="shared" si="27"/>
        <v/>
      </c>
    </row>
    <row r="897" spans="6:9" x14ac:dyDescent="0.2">
      <c r="F897" s="4" t="str">
        <f>IF(LEN(TRIM(A897))=0,"",COUNTIFS(Students!H:H, A897))</f>
        <v/>
      </c>
      <c r="G897" s="4" t="str">
        <f>IF(LEN(TRIM(A897))=0,"",COUNTIFS(Students!H:H, A897, Students!D:D, "&gt;=0"))</f>
        <v/>
      </c>
      <c r="H897" s="4" t="str">
        <f t="shared" si="26"/>
        <v/>
      </c>
      <c r="I897" s="30" t="str">
        <f t="shared" si="27"/>
        <v/>
      </c>
    </row>
    <row r="898" spans="6:9" x14ac:dyDescent="0.2">
      <c r="F898" s="4" t="str">
        <f>IF(LEN(TRIM(A898))=0,"",COUNTIFS(Students!H:H, A898))</f>
        <v/>
      </c>
      <c r="G898" s="4" t="str">
        <f>IF(LEN(TRIM(A898))=0,"",COUNTIFS(Students!H:H, A898, Students!D:D, "&gt;=0"))</f>
        <v/>
      </c>
      <c r="H898" s="4" t="str">
        <f t="shared" si="26"/>
        <v/>
      </c>
      <c r="I898" s="30" t="str">
        <f t="shared" si="27"/>
        <v/>
      </c>
    </row>
    <row r="899" spans="6:9" x14ac:dyDescent="0.2">
      <c r="F899" s="4" t="str">
        <f>IF(LEN(TRIM(A899))=0,"",COUNTIFS(Students!H:H, A899))</f>
        <v/>
      </c>
      <c r="G899" s="4" t="str">
        <f>IF(LEN(TRIM(A899))=0,"",COUNTIFS(Students!H:H, A899, Students!D:D, "&gt;=0"))</f>
        <v/>
      </c>
      <c r="H899" s="4" t="str">
        <f t="shared" ref="H899:H962" si="28">IFERROR(F899-G899,"")</f>
        <v/>
      </c>
      <c r="I899" s="30" t="str">
        <f t="shared" ref="I899:I962" si="29">IFERROR(IF(F899=0, "N/A", G899/F899),"")</f>
        <v/>
      </c>
    </row>
    <row r="900" spans="6:9" x14ac:dyDescent="0.2">
      <c r="F900" s="4" t="str">
        <f>IF(LEN(TRIM(A900))=0,"",COUNTIFS(Students!H:H, A900))</f>
        <v/>
      </c>
      <c r="G900" s="4" t="str">
        <f>IF(LEN(TRIM(A900))=0,"",COUNTIFS(Students!H:H, A900, Students!D:D, "&gt;=0"))</f>
        <v/>
      </c>
      <c r="H900" s="4" t="str">
        <f t="shared" si="28"/>
        <v/>
      </c>
      <c r="I900" s="30" t="str">
        <f t="shared" si="29"/>
        <v/>
      </c>
    </row>
    <row r="901" spans="6:9" x14ac:dyDescent="0.2">
      <c r="F901" s="4" t="str">
        <f>IF(LEN(TRIM(A901))=0,"",COUNTIFS(Students!H:H, A901))</f>
        <v/>
      </c>
      <c r="G901" s="4" t="str">
        <f>IF(LEN(TRIM(A901))=0,"",COUNTIFS(Students!H:H, A901, Students!D:D, "&gt;=0"))</f>
        <v/>
      </c>
      <c r="H901" s="4" t="str">
        <f t="shared" si="28"/>
        <v/>
      </c>
      <c r="I901" s="30" t="str">
        <f t="shared" si="29"/>
        <v/>
      </c>
    </row>
    <row r="902" spans="6:9" x14ac:dyDescent="0.2">
      <c r="F902" s="4" t="str">
        <f>IF(LEN(TRIM(A902))=0,"",COUNTIFS(Students!H:H, A902))</f>
        <v/>
      </c>
      <c r="G902" s="4" t="str">
        <f>IF(LEN(TRIM(A902))=0,"",COUNTIFS(Students!H:H, A902, Students!D:D, "&gt;=0"))</f>
        <v/>
      </c>
      <c r="H902" s="4" t="str">
        <f t="shared" si="28"/>
        <v/>
      </c>
      <c r="I902" s="30" t="str">
        <f t="shared" si="29"/>
        <v/>
      </c>
    </row>
    <row r="903" spans="6:9" x14ac:dyDescent="0.2">
      <c r="F903" s="4" t="str">
        <f>IF(LEN(TRIM(A903))=0,"",COUNTIFS(Students!H:H, A903))</f>
        <v/>
      </c>
      <c r="G903" s="4" t="str">
        <f>IF(LEN(TRIM(A903))=0,"",COUNTIFS(Students!H:H, A903, Students!D:D, "&gt;=0"))</f>
        <v/>
      </c>
      <c r="H903" s="4" t="str">
        <f t="shared" si="28"/>
        <v/>
      </c>
      <c r="I903" s="30" t="str">
        <f t="shared" si="29"/>
        <v/>
      </c>
    </row>
    <row r="904" spans="6:9" x14ac:dyDescent="0.2">
      <c r="F904" s="4" t="str">
        <f>IF(LEN(TRIM(A904))=0,"",COUNTIFS(Students!H:H, A904))</f>
        <v/>
      </c>
      <c r="G904" s="4" t="str">
        <f>IF(LEN(TRIM(A904))=0,"",COUNTIFS(Students!H:H, A904, Students!D:D, "&gt;=0"))</f>
        <v/>
      </c>
      <c r="H904" s="4" t="str">
        <f t="shared" si="28"/>
        <v/>
      </c>
      <c r="I904" s="30" t="str">
        <f t="shared" si="29"/>
        <v/>
      </c>
    </row>
    <row r="905" spans="6:9" x14ac:dyDescent="0.2">
      <c r="F905" s="4" t="str">
        <f>IF(LEN(TRIM(A905))=0,"",COUNTIFS(Students!H:H, A905))</f>
        <v/>
      </c>
      <c r="G905" s="4" t="str">
        <f>IF(LEN(TRIM(A905))=0,"",COUNTIFS(Students!H:H, A905, Students!D:D, "&gt;=0"))</f>
        <v/>
      </c>
      <c r="H905" s="4" t="str">
        <f t="shared" si="28"/>
        <v/>
      </c>
      <c r="I905" s="30" t="str">
        <f t="shared" si="29"/>
        <v/>
      </c>
    </row>
    <row r="906" spans="6:9" x14ac:dyDescent="0.2">
      <c r="F906" s="4" t="str">
        <f>IF(LEN(TRIM(A906))=0,"",COUNTIFS(Students!H:H, A906))</f>
        <v/>
      </c>
      <c r="G906" s="4" t="str">
        <f>IF(LEN(TRIM(A906))=0,"",COUNTIFS(Students!H:H, A906, Students!D:D, "&gt;=0"))</f>
        <v/>
      </c>
      <c r="H906" s="4" t="str">
        <f t="shared" si="28"/>
        <v/>
      </c>
      <c r="I906" s="30" t="str">
        <f t="shared" si="29"/>
        <v/>
      </c>
    </row>
    <row r="907" spans="6:9" x14ac:dyDescent="0.2">
      <c r="F907" s="4" t="str">
        <f>IF(LEN(TRIM(A907))=0,"",COUNTIFS(Students!H:H, A907))</f>
        <v/>
      </c>
      <c r="G907" s="4" t="str">
        <f>IF(LEN(TRIM(A907))=0,"",COUNTIFS(Students!H:H, A907, Students!D:D, "&gt;=0"))</f>
        <v/>
      </c>
      <c r="H907" s="4" t="str">
        <f t="shared" si="28"/>
        <v/>
      </c>
      <c r="I907" s="30" t="str">
        <f t="shared" si="29"/>
        <v/>
      </c>
    </row>
    <row r="908" spans="6:9" x14ac:dyDescent="0.2">
      <c r="F908" s="4" t="str">
        <f>IF(LEN(TRIM(A908))=0,"",COUNTIFS(Students!H:H, A908))</f>
        <v/>
      </c>
      <c r="G908" s="4" t="str">
        <f>IF(LEN(TRIM(A908))=0,"",COUNTIFS(Students!H:H, A908, Students!D:D, "&gt;=0"))</f>
        <v/>
      </c>
      <c r="H908" s="4" t="str">
        <f t="shared" si="28"/>
        <v/>
      </c>
      <c r="I908" s="30" t="str">
        <f t="shared" si="29"/>
        <v/>
      </c>
    </row>
    <row r="909" spans="6:9" x14ac:dyDescent="0.2">
      <c r="F909" s="4" t="str">
        <f>IF(LEN(TRIM(A909))=0,"",COUNTIFS(Students!H:H, A909))</f>
        <v/>
      </c>
      <c r="G909" s="4" t="str">
        <f>IF(LEN(TRIM(A909))=0,"",COUNTIFS(Students!H:H, A909, Students!D:D, "&gt;=0"))</f>
        <v/>
      </c>
      <c r="H909" s="4" t="str">
        <f t="shared" si="28"/>
        <v/>
      </c>
      <c r="I909" s="30" t="str">
        <f t="shared" si="29"/>
        <v/>
      </c>
    </row>
    <row r="910" spans="6:9" x14ac:dyDescent="0.2">
      <c r="F910" s="4" t="str">
        <f>IF(LEN(TRIM(A910))=0,"",COUNTIFS(Students!H:H, A910))</f>
        <v/>
      </c>
      <c r="G910" s="4" t="str">
        <f>IF(LEN(TRIM(A910))=0,"",COUNTIFS(Students!H:H, A910, Students!D:D, "&gt;=0"))</f>
        <v/>
      </c>
      <c r="H910" s="4" t="str">
        <f t="shared" si="28"/>
        <v/>
      </c>
      <c r="I910" s="30" t="str">
        <f t="shared" si="29"/>
        <v/>
      </c>
    </row>
    <row r="911" spans="6:9" x14ac:dyDescent="0.2">
      <c r="F911" s="4" t="str">
        <f>IF(LEN(TRIM(A911))=0,"",COUNTIFS(Students!H:H, A911))</f>
        <v/>
      </c>
      <c r="G911" s="4" t="str">
        <f>IF(LEN(TRIM(A911))=0,"",COUNTIFS(Students!H:H, A911, Students!D:D, "&gt;=0"))</f>
        <v/>
      </c>
      <c r="H911" s="4" t="str">
        <f t="shared" si="28"/>
        <v/>
      </c>
      <c r="I911" s="30" t="str">
        <f t="shared" si="29"/>
        <v/>
      </c>
    </row>
    <row r="912" spans="6:9" x14ac:dyDescent="0.2">
      <c r="F912" s="4" t="str">
        <f>IF(LEN(TRIM(A912))=0,"",COUNTIFS(Students!H:H, A912))</f>
        <v/>
      </c>
      <c r="G912" s="4" t="str">
        <f>IF(LEN(TRIM(A912))=0,"",COUNTIFS(Students!H:H, A912, Students!D:D, "&gt;=0"))</f>
        <v/>
      </c>
      <c r="H912" s="4" t="str">
        <f t="shared" si="28"/>
        <v/>
      </c>
      <c r="I912" s="30" t="str">
        <f t="shared" si="29"/>
        <v/>
      </c>
    </row>
    <row r="913" spans="6:9" x14ac:dyDescent="0.2">
      <c r="F913" s="4" t="str">
        <f>IF(LEN(TRIM(A913))=0,"",COUNTIFS(Students!H:H, A913))</f>
        <v/>
      </c>
      <c r="G913" s="4" t="str">
        <f>IF(LEN(TRIM(A913))=0,"",COUNTIFS(Students!H:H, A913, Students!D:D, "&gt;=0"))</f>
        <v/>
      </c>
      <c r="H913" s="4" t="str">
        <f t="shared" si="28"/>
        <v/>
      </c>
      <c r="I913" s="30" t="str">
        <f t="shared" si="29"/>
        <v/>
      </c>
    </row>
    <row r="914" spans="6:9" x14ac:dyDescent="0.2">
      <c r="F914" s="4" t="str">
        <f>IF(LEN(TRIM(A914))=0,"",COUNTIFS(Students!H:H, A914))</f>
        <v/>
      </c>
      <c r="G914" s="4" t="str">
        <f>IF(LEN(TRIM(A914))=0,"",COUNTIFS(Students!H:H, A914, Students!D:D, "&gt;=0"))</f>
        <v/>
      </c>
      <c r="H914" s="4" t="str">
        <f t="shared" si="28"/>
        <v/>
      </c>
      <c r="I914" s="30" t="str">
        <f t="shared" si="29"/>
        <v/>
      </c>
    </row>
    <row r="915" spans="6:9" x14ac:dyDescent="0.2">
      <c r="F915" s="4" t="str">
        <f>IF(LEN(TRIM(A915))=0,"",COUNTIFS(Students!H:H, A915))</f>
        <v/>
      </c>
      <c r="G915" s="4" t="str">
        <f>IF(LEN(TRIM(A915))=0,"",COUNTIFS(Students!H:H, A915, Students!D:D, "&gt;=0"))</f>
        <v/>
      </c>
      <c r="H915" s="4" t="str">
        <f t="shared" si="28"/>
        <v/>
      </c>
      <c r="I915" s="30" t="str">
        <f t="shared" si="29"/>
        <v/>
      </c>
    </row>
    <row r="916" spans="6:9" x14ac:dyDescent="0.2">
      <c r="F916" s="4" t="str">
        <f>IF(LEN(TRIM(A916))=0,"",COUNTIFS(Students!H:H, A916))</f>
        <v/>
      </c>
      <c r="G916" s="4" t="str">
        <f>IF(LEN(TRIM(A916))=0,"",COUNTIFS(Students!H:H, A916, Students!D:D, "&gt;=0"))</f>
        <v/>
      </c>
      <c r="H916" s="4" t="str">
        <f t="shared" si="28"/>
        <v/>
      </c>
      <c r="I916" s="30" t="str">
        <f t="shared" si="29"/>
        <v/>
      </c>
    </row>
    <row r="917" spans="6:9" x14ac:dyDescent="0.2">
      <c r="F917" s="4" t="str">
        <f>IF(LEN(TRIM(A917))=0,"",COUNTIFS(Students!H:H, A917))</f>
        <v/>
      </c>
      <c r="G917" s="4" t="str">
        <f>IF(LEN(TRIM(A917))=0,"",COUNTIFS(Students!H:H, A917, Students!D:D, "&gt;=0"))</f>
        <v/>
      </c>
      <c r="H917" s="4" t="str">
        <f t="shared" si="28"/>
        <v/>
      </c>
      <c r="I917" s="30" t="str">
        <f t="shared" si="29"/>
        <v/>
      </c>
    </row>
    <row r="918" spans="6:9" x14ac:dyDescent="0.2">
      <c r="F918" s="4" t="str">
        <f>IF(LEN(TRIM(A918))=0,"",COUNTIFS(Students!H:H, A918))</f>
        <v/>
      </c>
      <c r="G918" s="4" t="str">
        <f>IF(LEN(TRIM(A918))=0,"",COUNTIFS(Students!H:H, A918, Students!D:D, "&gt;=0"))</f>
        <v/>
      </c>
      <c r="H918" s="4" t="str">
        <f t="shared" si="28"/>
        <v/>
      </c>
      <c r="I918" s="30" t="str">
        <f t="shared" si="29"/>
        <v/>
      </c>
    </row>
    <row r="919" spans="6:9" x14ac:dyDescent="0.2">
      <c r="F919" s="4" t="str">
        <f>IF(LEN(TRIM(A919))=0,"",COUNTIFS(Students!H:H, A919))</f>
        <v/>
      </c>
      <c r="G919" s="4" t="str">
        <f>IF(LEN(TRIM(A919))=0,"",COUNTIFS(Students!H:H, A919, Students!D:D, "&gt;=0"))</f>
        <v/>
      </c>
      <c r="H919" s="4" t="str">
        <f t="shared" si="28"/>
        <v/>
      </c>
      <c r="I919" s="30" t="str">
        <f t="shared" si="29"/>
        <v/>
      </c>
    </row>
    <row r="920" spans="6:9" x14ac:dyDescent="0.2">
      <c r="F920" s="4" t="str">
        <f>IF(LEN(TRIM(A920))=0,"",COUNTIFS(Students!H:H, A920))</f>
        <v/>
      </c>
      <c r="G920" s="4" t="str">
        <f>IF(LEN(TRIM(A920))=0,"",COUNTIFS(Students!H:H, A920, Students!D:D, "&gt;=0"))</f>
        <v/>
      </c>
      <c r="H920" s="4" t="str">
        <f t="shared" si="28"/>
        <v/>
      </c>
      <c r="I920" s="30" t="str">
        <f t="shared" si="29"/>
        <v/>
      </c>
    </row>
    <row r="921" spans="6:9" x14ac:dyDescent="0.2">
      <c r="F921" s="4" t="str">
        <f>IF(LEN(TRIM(A921))=0,"",COUNTIFS(Students!H:H, A921))</f>
        <v/>
      </c>
      <c r="G921" s="4" t="str">
        <f>IF(LEN(TRIM(A921))=0,"",COUNTIFS(Students!H:H, A921, Students!D:D, "&gt;=0"))</f>
        <v/>
      </c>
      <c r="H921" s="4" t="str">
        <f t="shared" si="28"/>
        <v/>
      </c>
      <c r="I921" s="30" t="str">
        <f t="shared" si="29"/>
        <v/>
      </c>
    </row>
    <row r="922" spans="6:9" x14ac:dyDescent="0.2">
      <c r="F922" s="4" t="str">
        <f>IF(LEN(TRIM(A922))=0,"",COUNTIFS(Students!H:H, A922))</f>
        <v/>
      </c>
      <c r="G922" s="4" t="str">
        <f>IF(LEN(TRIM(A922))=0,"",COUNTIFS(Students!H:H, A922, Students!D:D, "&gt;=0"))</f>
        <v/>
      </c>
      <c r="H922" s="4" t="str">
        <f t="shared" si="28"/>
        <v/>
      </c>
      <c r="I922" s="30" t="str">
        <f t="shared" si="29"/>
        <v/>
      </c>
    </row>
    <row r="923" spans="6:9" x14ac:dyDescent="0.2">
      <c r="F923" s="4" t="str">
        <f>IF(LEN(TRIM(A923))=0,"",COUNTIFS(Students!H:H, A923))</f>
        <v/>
      </c>
      <c r="G923" s="4" t="str">
        <f>IF(LEN(TRIM(A923))=0,"",COUNTIFS(Students!H:H, A923, Students!D:D, "&gt;=0"))</f>
        <v/>
      </c>
      <c r="H923" s="4" t="str">
        <f t="shared" si="28"/>
        <v/>
      </c>
      <c r="I923" s="30" t="str">
        <f t="shared" si="29"/>
        <v/>
      </c>
    </row>
    <row r="924" spans="6:9" x14ac:dyDescent="0.2">
      <c r="F924" s="4" t="str">
        <f>IF(LEN(TRIM(A924))=0,"",COUNTIFS(Students!H:H, A924))</f>
        <v/>
      </c>
      <c r="G924" s="4" t="str">
        <f>IF(LEN(TRIM(A924))=0,"",COUNTIFS(Students!H:H, A924, Students!D:D, "&gt;=0"))</f>
        <v/>
      </c>
      <c r="H924" s="4" t="str">
        <f t="shared" si="28"/>
        <v/>
      </c>
      <c r="I924" s="30" t="str">
        <f t="shared" si="29"/>
        <v/>
      </c>
    </row>
    <row r="925" spans="6:9" x14ac:dyDescent="0.2">
      <c r="F925" s="4" t="str">
        <f>IF(LEN(TRIM(A925))=0,"",COUNTIFS(Students!H:H, A925))</f>
        <v/>
      </c>
      <c r="G925" s="4" t="str">
        <f>IF(LEN(TRIM(A925))=0,"",COUNTIFS(Students!H:H, A925, Students!D:D, "&gt;=0"))</f>
        <v/>
      </c>
      <c r="H925" s="4" t="str">
        <f t="shared" si="28"/>
        <v/>
      </c>
      <c r="I925" s="30" t="str">
        <f t="shared" si="29"/>
        <v/>
      </c>
    </row>
    <row r="926" spans="6:9" x14ac:dyDescent="0.2">
      <c r="F926" s="4" t="str">
        <f>IF(LEN(TRIM(A926))=0,"",COUNTIFS(Students!H:H, A926))</f>
        <v/>
      </c>
      <c r="G926" s="4" t="str">
        <f>IF(LEN(TRIM(A926))=0,"",COUNTIFS(Students!H:H, A926, Students!D:D, "&gt;=0"))</f>
        <v/>
      </c>
      <c r="H926" s="4" t="str">
        <f t="shared" si="28"/>
        <v/>
      </c>
      <c r="I926" s="30" t="str">
        <f t="shared" si="29"/>
        <v/>
      </c>
    </row>
    <row r="927" spans="6:9" x14ac:dyDescent="0.2">
      <c r="F927" s="4" t="str">
        <f>IF(LEN(TRIM(A927))=0,"",COUNTIFS(Students!H:H, A927))</f>
        <v/>
      </c>
      <c r="G927" s="4" t="str">
        <f>IF(LEN(TRIM(A927))=0,"",COUNTIFS(Students!H:H, A927, Students!D:D, "&gt;=0"))</f>
        <v/>
      </c>
      <c r="H927" s="4" t="str">
        <f t="shared" si="28"/>
        <v/>
      </c>
      <c r="I927" s="30" t="str">
        <f t="shared" si="29"/>
        <v/>
      </c>
    </row>
    <row r="928" spans="6:9" x14ac:dyDescent="0.2">
      <c r="F928" s="4" t="str">
        <f>IF(LEN(TRIM(A928))=0,"",COUNTIFS(Students!H:H, A928))</f>
        <v/>
      </c>
      <c r="G928" s="4" t="str">
        <f>IF(LEN(TRIM(A928))=0,"",COUNTIFS(Students!H:H, A928, Students!D:D, "&gt;=0"))</f>
        <v/>
      </c>
      <c r="H928" s="4" t="str">
        <f t="shared" si="28"/>
        <v/>
      </c>
      <c r="I928" s="30" t="str">
        <f t="shared" si="29"/>
        <v/>
      </c>
    </row>
    <row r="929" spans="6:9" x14ac:dyDescent="0.2">
      <c r="F929" s="4" t="str">
        <f>IF(LEN(TRIM(A929))=0,"",COUNTIFS(Students!H:H, A929))</f>
        <v/>
      </c>
      <c r="G929" s="4" t="str">
        <f>IF(LEN(TRIM(A929))=0,"",COUNTIFS(Students!H:H, A929, Students!D:D, "&gt;=0"))</f>
        <v/>
      </c>
      <c r="H929" s="4" t="str">
        <f t="shared" si="28"/>
        <v/>
      </c>
      <c r="I929" s="30" t="str">
        <f t="shared" si="29"/>
        <v/>
      </c>
    </row>
    <row r="930" spans="6:9" x14ac:dyDescent="0.2">
      <c r="F930" s="4" t="str">
        <f>IF(LEN(TRIM(A930))=0,"",COUNTIFS(Students!H:H, A930))</f>
        <v/>
      </c>
      <c r="G930" s="4" t="str">
        <f>IF(LEN(TRIM(A930))=0,"",COUNTIFS(Students!H:H, A930, Students!D:D, "&gt;=0"))</f>
        <v/>
      </c>
      <c r="H930" s="4" t="str">
        <f t="shared" si="28"/>
        <v/>
      </c>
      <c r="I930" s="30" t="str">
        <f t="shared" si="29"/>
        <v/>
      </c>
    </row>
    <row r="931" spans="6:9" x14ac:dyDescent="0.2">
      <c r="F931" s="4" t="str">
        <f>IF(LEN(TRIM(A931))=0,"",COUNTIFS(Students!H:H, A931))</f>
        <v/>
      </c>
      <c r="G931" s="4" t="str">
        <f>IF(LEN(TRIM(A931))=0,"",COUNTIFS(Students!H:H, A931, Students!D:D, "&gt;=0"))</f>
        <v/>
      </c>
      <c r="H931" s="4" t="str">
        <f t="shared" si="28"/>
        <v/>
      </c>
      <c r="I931" s="30" t="str">
        <f t="shared" si="29"/>
        <v/>
      </c>
    </row>
    <row r="932" spans="6:9" x14ac:dyDescent="0.2">
      <c r="F932" s="4" t="str">
        <f>IF(LEN(TRIM(A932))=0,"",COUNTIFS(Students!H:H, A932))</f>
        <v/>
      </c>
      <c r="G932" s="4" t="str">
        <f>IF(LEN(TRIM(A932))=0,"",COUNTIFS(Students!H:H, A932, Students!D:D, "&gt;=0"))</f>
        <v/>
      </c>
      <c r="H932" s="4" t="str">
        <f t="shared" si="28"/>
        <v/>
      </c>
      <c r="I932" s="30" t="str">
        <f t="shared" si="29"/>
        <v/>
      </c>
    </row>
    <row r="933" spans="6:9" x14ac:dyDescent="0.2">
      <c r="F933" s="4" t="str">
        <f>IF(LEN(TRIM(A933))=0,"",COUNTIFS(Students!H:H, A933))</f>
        <v/>
      </c>
      <c r="G933" s="4" t="str">
        <f>IF(LEN(TRIM(A933))=0,"",COUNTIFS(Students!H:H, A933, Students!D:D, "&gt;=0"))</f>
        <v/>
      </c>
      <c r="H933" s="4" t="str">
        <f t="shared" si="28"/>
        <v/>
      </c>
      <c r="I933" s="30" t="str">
        <f t="shared" si="29"/>
        <v/>
      </c>
    </row>
    <row r="934" spans="6:9" x14ac:dyDescent="0.2">
      <c r="F934" s="4" t="str">
        <f>IF(LEN(TRIM(A934))=0,"",COUNTIFS(Students!H:H, A934))</f>
        <v/>
      </c>
      <c r="G934" s="4" t="str">
        <f>IF(LEN(TRIM(A934))=0,"",COUNTIFS(Students!H:H, A934, Students!D:D, "&gt;=0"))</f>
        <v/>
      </c>
      <c r="H934" s="4" t="str">
        <f t="shared" si="28"/>
        <v/>
      </c>
      <c r="I934" s="30" t="str">
        <f t="shared" si="29"/>
        <v/>
      </c>
    </row>
    <row r="935" spans="6:9" x14ac:dyDescent="0.2">
      <c r="F935" s="4" t="str">
        <f>IF(LEN(TRIM(A935))=0,"",COUNTIFS(Students!H:H, A935))</f>
        <v/>
      </c>
      <c r="G935" s="4" t="str">
        <f>IF(LEN(TRIM(A935))=0,"",COUNTIFS(Students!H:H, A935, Students!D:D, "&gt;=0"))</f>
        <v/>
      </c>
      <c r="H935" s="4" t="str">
        <f t="shared" si="28"/>
        <v/>
      </c>
      <c r="I935" s="30" t="str">
        <f t="shared" si="29"/>
        <v/>
      </c>
    </row>
    <row r="936" spans="6:9" x14ac:dyDescent="0.2">
      <c r="F936" s="4" t="str">
        <f>IF(LEN(TRIM(A936))=0,"",COUNTIFS(Students!H:H, A936))</f>
        <v/>
      </c>
      <c r="G936" s="4" t="str">
        <f>IF(LEN(TRIM(A936))=0,"",COUNTIFS(Students!H:H, A936, Students!D:D, "&gt;=0"))</f>
        <v/>
      </c>
      <c r="H936" s="4" t="str">
        <f t="shared" si="28"/>
        <v/>
      </c>
      <c r="I936" s="30" t="str">
        <f t="shared" si="29"/>
        <v/>
      </c>
    </row>
    <row r="937" spans="6:9" x14ac:dyDescent="0.2">
      <c r="F937" s="4" t="str">
        <f>IF(LEN(TRIM(A937))=0,"",COUNTIFS(Students!H:H, A937))</f>
        <v/>
      </c>
      <c r="G937" s="4" t="str">
        <f>IF(LEN(TRIM(A937))=0,"",COUNTIFS(Students!H:H, A937, Students!D:D, "&gt;=0"))</f>
        <v/>
      </c>
      <c r="H937" s="4" t="str">
        <f t="shared" si="28"/>
        <v/>
      </c>
      <c r="I937" s="30" t="str">
        <f t="shared" si="29"/>
        <v/>
      </c>
    </row>
    <row r="938" spans="6:9" x14ac:dyDescent="0.2">
      <c r="F938" s="4" t="str">
        <f>IF(LEN(TRIM(A938))=0,"",COUNTIFS(Students!H:H, A938))</f>
        <v/>
      </c>
      <c r="G938" s="4" t="str">
        <f>IF(LEN(TRIM(A938))=0,"",COUNTIFS(Students!H:H, A938, Students!D:D, "&gt;=0"))</f>
        <v/>
      </c>
      <c r="H938" s="4" t="str">
        <f t="shared" si="28"/>
        <v/>
      </c>
      <c r="I938" s="30" t="str">
        <f t="shared" si="29"/>
        <v/>
      </c>
    </row>
    <row r="939" spans="6:9" x14ac:dyDescent="0.2">
      <c r="F939" s="4" t="str">
        <f>IF(LEN(TRIM(A939))=0,"",COUNTIFS(Students!H:H, A939))</f>
        <v/>
      </c>
      <c r="G939" s="4" t="str">
        <f>IF(LEN(TRIM(A939))=0,"",COUNTIFS(Students!H:H, A939, Students!D:D, "&gt;=0"))</f>
        <v/>
      </c>
      <c r="H939" s="4" t="str">
        <f t="shared" si="28"/>
        <v/>
      </c>
      <c r="I939" s="30" t="str">
        <f t="shared" si="29"/>
        <v/>
      </c>
    </row>
    <row r="940" spans="6:9" x14ac:dyDescent="0.2">
      <c r="F940" s="4" t="str">
        <f>IF(LEN(TRIM(A940))=0,"",COUNTIFS(Students!H:H, A940))</f>
        <v/>
      </c>
      <c r="G940" s="4" t="str">
        <f>IF(LEN(TRIM(A940))=0,"",COUNTIFS(Students!H:H, A940, Students!D:D, "&gt;=0"))</f>
        <v/>
      </c>
      <c r="H940" s="4" t="str">
        <f t="shared" si="28"/>
        <v/>
      </c>
      <c r="I940" s="30" t="str">
        <f t="shared" si="29"/>
        <v/>
      </c>
    </row>
    <row r="941" spans="6:9" x14ac:dyDescent="0.2">
      <c r="F941" s="4" t="str">
        <f>IF(LEN(TRIM(A941))=0,"",COUNTIFS(Students!H:H, A941))</f>
        <v/>
      </c>
      <c r="G941" s="4" t="str">
        <f>IF(LEN(TRIM(A941))=0,"",COUNTIFS(Students!H:H, A941, Students!D:D, "&gt;=0"))</f>
        <v/>
      </c>
      <c r="H941" s="4" t="str">
        <f t="shared" si="28"/>
        <v/>
      </c>
      <c r="I941" s="30" t="str">
        <f t="shared" si="29"/>
        <v/>
      </c>
    </row>
    <row r="942" spans="6:9" x14ac:dyDescent="0.2">
      <c r="F942" s="4" t="str">
        <f>IF(LEN(TRIM(A942))=0,"",COUNTIFS(Students!H:H, A942))</f>
        <v/>
      </c>
      <c r="G942" s="4" t="str">
        <f>IF(LEN(TRIM(A942))=0,"",COUNTIFS(Students!H:H, A942, Students!D:D, "&gt;=0"))</f>
        <v/>
      </c>
      <c r="H942" s="4" t="str">
        <f t="shared" si="28"/>
        <v/>
      </c>
      <c r="I942" s="30" t="str">
        <f t="shared" si="29"/>
        <v/>
      </c>
    </row>
    <row r="943" spans="6:9" x14ac:dyDescent="0.2">
      <c r="F943" s="4" t="str">
        <f>IF(LEN(TRIM(A943))=0,"",COUNTIFS(Students!H:H, A943))</f>
        <v/>
      </c>
      <c r="G943" s="4" t="str">
        <f>IF(LEN(TRIM(A943))=0,"",COUNTIFS(Students!H:H, A943, Students!D:D, "&gt;=0"))</f>
        <v/>
      </c>
      <c r="H943" s="4" t="str">
        <f t="shared" si="28"/>
        <v/>
      </c>
      <c r="I943" s="30" t="str">
        <f t="shared" si="29"/>
        <v/>
      </c>
    </row>
    <row r="944" spans="6:9" x14ac:dyDescent="0.2">
      <c r="F944" s="4" t="str">
        <f>IF(LEN(TRIM(A944))=0,"",COUNTIFS(Students!H:H, A944))</f>
        <v/>
      </c>
      <c r="G944" s="4" t="str">
        <f>IF(LEN(TRIM(A944))=0,"",COUNTIFS(Students!H:H, A944, Students!D:D, "&gt;=0"))</f>
        <v/>
      </c>
      <c r="H944" s="4" t="str">
        <f t="shared" si="28"/>
        <v/>
      </c>
      <c r="I944" s="30" t="str">
        <f t="shared" si="29"/>
        <v/>
      </c>
    </row>
    <row r="945" spans="6:9" x14ac:dyDescent="0.2">
      <c r="F945" s="4" t="str">
        <f>IF(LEN(TRIM(A945))=0,"",COUNTIFS(Students!H:H, A945))</f>
        <v/>
      </c>
      <c r="G945" s="4" t="str">
        <f>IF(LEN(TRIM(A945))=0,"",COUNTIFS(Students!H:H, A945, Students!D:D, "&gt;=0"))</f>
        <v/>
      </c>
      <c r="H945" s="4" t="str">
        <f t="shared" si="28"/>
        <v/>
      </c>
      <c r="I945" s="30" t="str">
        <f t="shared" si="29"/>
        <v/>
      </c>
    </row>
    <row r="946" spans="6:9" x14ac:dyDescent="0.2">
      <c r="F946" s="4" t="str">
        <f>IF(LEN(TRIM(A946))=0,"",COUNTIFS(Students!H:H, A946))</f>
        <v/>
      </c>
      <c r="G946" s="4" t="str">
        <f>IF(LEN(TRIM(A946))=0,"",COUNTIFS(Students!H:H, A946, Students!D:D, "&gt;=0"))</f>
        <v/>
      </c>
      <c r="H946" s="4" t="str">
        <f t="shared" si="28"/>
        <v/>
      </c>
      <c r="I946" s="30" t="str">
        <f t="shared" si="29"/>
        <v/>
      </c>
    </row>
    <row r="947" spans="6:9" x14ac:dyDescent="0.2">
      <c r="F947" s="4" t="str">
        <f>IF(LEN(TRIM(A947))=0,"",COUNTIFS(Students!H:H, A947))</f>
        <v/>
      </c>
      <c r="G947" s="4" t="str">
        <f>IF(LEN(TRIM(A947))=0,"",COUNTIFS(Students!H:H, A947, Students!D:D, "&gt;=0"))</f>
        <v/>
      </c>
      <c r="H947" s="4" t="str">
        <f t="shared" si="28"/>
        <v/>
      </c>
      <c r="I947" s="30" t="str">
        <f t="shared" si="29"/>
        <v/>
      </c>
    </row>
    <row r="948" spans="6:9" x14ac:dyDescent="0.2">
      <c r="F948" s="4" t="str">
        <f>IF(LEN(TRIM(A948))=0,"",COUNTIFS(Students!H:H, A948))</f>
        <v/>
      </c>
      <c r="G948" s="4" t="str">
        <f>IF(LEN(TRIM(A948))=0,"",COUNTIFS(Students!H:H, A948, Students!D:D, "&gt;=0"))</f>
        <v/>
      </c>
      <c r="H948" s="4" t="str">
        <f t="shared" si="28"/>
        <v/>
      </c>
      <c r="I948" s="30" t="str">
        <f t="shared" si="29"/>
        <v/>
      </c>
    </row>
    <row r="949" spans="6:9" x14ac:dyDescent="0.2">
      <c r="F949" s="4" t="str">
        <f>IF(LEN(TRIM(A949))=0,"",COUNTIFS(Students!H:H, A949))</f>
        <v/>
      </c>
      <c r="G949" s="4" t="str">
        <f>IF(LEN(TRIM(A949))=0,"",COUNTIFS(Students!H:H, A949, Students!D:D, "&gt;=0"))</f>
        <v/>
      </c>
      <c r="H949" s="4" t="str">
        <f t="shared" si="28"/>
        <v/>
      </c>
      <c r="I949" s="30" t="str">
        <f t="shared" si="29"/>
        <v/>
      </c>
    </row>
    <row r="950" spans="6:9" x14ac:dyDescent="0.2">
      <c r="F950" s="4" t="str">
        <f>IF(LEN(TRIM(A950))=0,"",COUNTIFS(Students!H:H, A950))</f>
        <v/>
      </c>
      <c r="G950" s="4" t="str">
        <f>IF(LEN(TRIM(A950))=0,"",COUNTIFS(Students!H:H, A950, Students!D:D, "&gt;=0"))</f>
        <v/>
      </c>
      <c r="H950" s="4" t="str">
        <f t="shared" si="28"/>
        <v/>
      </c>
      <c r="I950" s="30" t="str">
        <f t="shared" si="29"/>
        <v/>
      </c>
    </row>
    <row r="951" spans="6:9" x14ac:dyDescent="0.2">
      <c r="F951" s="4" t="str">
        <f>IF(LEN(TRIM(A951))=0,"",COUNTIFS(Students!H:H, A951))</f>
        <v/>
      </c>
      <c r="G951" s="4" t="str">
        <f>IF(LEN(TRIM(A951))=0,"",COUNTIFS(Students!H:H, A951, Students!D:D, "&gt;=0"))</f>
        <v/>
      </c>
      <c r="H951" s="4" t="str">
        <f t="shared" si="28"/>
        <v/>
      </c>
      <c r="I951" s="30" t="str">
        <f t="shared" si="29"/>
        <v/>
      </c>
    </row>
    <row r="952" spans="6:9" x14ac:dyDescent="0.2">
      <c r="F952" s="4" t="str">
        <f>IF(LEN(TRIM(A952))=0,"",COUNTIFS(Students!H:H, A952))</f>
        <v/>
      </c>
      <c r="G952" s="4" t="str">
        <f>IF(LEN(TRIM(A952))=0,"",COUNTIFS(Students!H:H, A952, Students!D:D, "&gt;=0"))</f>
        <v/>
      </c>
      <c r="H952" s="4" t="str">
        <f t="shared" si="28"/>
        <v/>
      </c>
      <c r="I952" s="30" t="str">
        <f t="shared" si="29"/>
        <v/>
      </c>
    </row>
    <row r="953" spans="6:9" x14ac:dyDescent="0.2">
      <c r="F953" s="4" t="str">
        <f>IF(LEN(TRIM(A953))=0,"",COUNTIFS(Students!H:H, A953))</f>
        <v/>
      </c>
      <c r="G953" s="4" t="str">
        <f>IF(LEN(TRIM(A953))=0,"",COUNTIFS(Students!H:H, A953, Students!D:D, "&gt;=0"))</f>
        <v/>
      </c>
      <c r="H953" s="4" t="str">
        <f t="shared" si="28"/>
        <v/>
      </c>
      <c r="I953" s="30" t="str">
        <f t="shared" si="29"/>
        <v/>
      </c>
    </row>
    <row r="954" spans="6:9" x14ac:dyDescent="0.2">
      <c r="F954" s="4" t="str">
        <f>IF(LEN(TRIM(A954))=0,"",COUNTIFS(Students!H:H, A954))</f>
        <v/>
      </c>
      <c r="G954" s="4" t="str">
        <f>IF(LEN(TRIM(A954))=0,"",COUNTIFS(Students!H:H, A954, Students!D:D, "&gt;=0"))</f>
        <v/>
      </c>
      <c r="H954" s="4" t="str">
        <f t="shared" si="28"/>
        <v/>
      </c>
      <c r="I954" s="30" t="str">
        <f t="shared" si="29"/>
        <v/>
      </c>
    </row>
    <row r="955" spans="6:9" x14ac:dyDescent="0.2">
      <c r="F955" s="4" t="str">
        <f>IF(LEN(TRIM(A955))=0,"",COUNTIFS(Students!H:H, A955))</f>
        <v/>
      </c>
      <c r="G955" s="4" t="str">
        <f>IF(LEN(TRIM(A955))=0,"",COUNTIFS(Students!H:H, A955, Students!D:D, "&gt;=0"))</f>
        <v/>
      </c>
      <c r="H955" s="4" t="str">
        <f t="shared" si="28"/>
        <v/>
      </c>
      <c r="I955" s="30" t="str">
        <f t="shared" si="29"/>
        <v/>
      </c>
    </row>
    <row r="956" spans="6:9" x14ac:dyDescent="0.2">
      <c r="F956" s="4" t="str">
        <f>IF(LEN(TRIM(A956))=0,"",COUNTIFS(Students!H:H, A956))</f>
        <v/>
      </c>
      <c r="G956" s="4" t="str">
        <f>IF(LEN(TRIM(A956))=0,"",COUNTIFS(Students!H:H, A956, Students!D:D, "&gt;=0"))</f>
        <v/>
      </c>
      <c r="H956" s="4" t="str">
        <f t="shared" si="28"/>
        <v/>
      </c>
      <c r="I956" s="30" t="str">
        <f t="shared" si="29"/>
        <v/>
      </c>
    </row>
    <row r="957" spans="6:9" x14ac:dyDescent="0.2">
      <c r="F957" s="4" t="str">
        <f>IF(LEN(TRIM(A957))=0,"",COUNTIFS(Students!H:H, A957))</f>
        <v/>
      </c>
      <c r="G957" s="4" t="str">
        <f>IF(LEN(TRIM(A957))=0,"",COUNTIFS(Students!H:H, A957, Students!D:D, "&gt;=0"))</f>
        <v/>
      </c>
      <c r="H957" s="4" t="str">
        <f t="shared" si="28"/>
        <v/>
      </c>
      <c r="I957" s="30" t="str">
        <f t="shared" si="29"/>
        <v/>
      </c>
    </row>
    <row r="958" spans="6:9" x14ac:dyDescent="0.2">
      <c r="F958" s="4" t="str">
        <f>IF(LEN(TRIM(A958))=0,"",COUNTIFS(Students!H:H, A958))</f>
        <v/>
      </c>
      <c r="G958" s="4" t="str">
        <f>IF(LEN(TRIM(A958))=0,"",COUNTIFS(Students!H:H, A958, Students!D:D, "&gt;=0"))</f>
        <v/>
      </c>
      <c r="H958" s="4" t="str">
        <f t="shared" si="28"/>
        <v/>
      </c>
      <c r="I958" s="30" t="str">
        <f t="shared" si="29"/>
        <v/>
      </c>
    </row>
    <row r="959" spans="6:9" x14ac:dyDescent="0.2">
      <c r="F959" s="4" t="str">
        <f>IF(LEN(TRIM(A959))=0,"",COUNTIFS(Students!H:H, A959))</f>
        <v/>
      </c>
      <c r="G959" s="4" t="str">
        <f>IF(LEN(TRIM(A959))=0,"",COUNTIFS(Students!H:H, A959, Students!D:D, "&gt;=0"))</f>
        <v/>
      </c>
      <c r="H959" s="4" t="str">
        <f t="shared" si="28"/>
        <v/>
      </c>
      <c r="I959" s="30" t="str">
        <f t="shared" si="29"/>
        <v/>
      </c>
    </row>
    <row r="960" spans="6:9" x14ac:dyDescent="0.2">
      <c r="F960" s="4" t="str">
        <f>IF(LEN(TRIM(A960))=0,"",COUNTIFS(Students!H:H, A960))</f>
        <v/>
      </c>
      <c r="G960" s="4" t="str">
        <f>IF(LEN(TRIM(A960))=0,"",COUNTIFS(Students!H:H, A960, Students!D:D, "&gt;=0"))</f>
        <v/>
      </c>
      <c r="H960" s="4" t="str">
        <f t="shared" si="28"/>
        <v/>
      </c>
      <c r="I960" s="30" t="str">
        <f t="shared" si="29"/>
        <v/>
      </c>
    </row>
    <row r="961" spans="6:9" x14ac:dyDescent="0.2">
      <c r="F961" s="4" t="str">
        <f>IF(LEN(TRIM(A961))=0,"",COUNTIFS(Students!H:H, A961))</f>
        <v/>
      </c>
      <c r="G961" s="4" t="str">
        <f>IF(LEN(TRIM(A961))=0,"",COUNTIFS(Students!H:H, A961, Students!D:D, "&gt;=0"))</f>
        <v/>
      </c>
      <c r="H961" s="4" t="str">
        <f t="shared" si="28"/>
        <v/>
      </c>
      <c r="I961" s="30" t="str">
        <f t="shared" si="29"/>
        <v/>
      </c>
    </row>
    <row r="962" spans="6:9" x14ac:dyDescent="0.2">
      <c r="F962" s="4" t="str">
        <f>IF(LEN(TRIM(A962))=0,"",COUNTIFS(Students!H:H, A962))</f>
        <v/>
      </c>
      <c r="G962" s="4" t="str">
        <f>IF(LEN(TRIM(A962))=0,"",COUNTIFS(Students!H:H, A962, Students!D:D, "&gt;=0"))</f>
        <v/>
      </c>
      <c r="H962" s="4" t="str">
        <f t="shared" si="28"/>
        <v/>
      </c>
      <c r="I962" s="30" t="str">
        <f t="shared" si="29"/>
        <v/>
      </c>
    </row>
    <row r="963" spans="6:9" x14ac:dyDescent="0.2">
      <c r="F963" s="4" t="str">
        <f>IF(LEN(TRIM(A963))=0,"",COUNTIFS(Students!H:H, A963))</f>
        <v/>
      </c>
      <c r="G963" s="4" t="str">
        <f>IF(LEN(TRIM(A963))=0,"",COUNTIFS(Students!H:H, A963, Students!D:D, "&gt;=0"))</f>
        <v/>
      </c>
      <c r="H963" s="4" t="str">
        <f t="shared" ref="H963:H1026" si="30">IFERROR(F963-G963,"")</f>
        <v/>
      </c>
      <c r="I963" s="30" t="str">
        <f t="shared" ref="I963:I1026" si="31">IFERROR(IF(F963=0, "N/A", G963/F963),"")</f>
        <v/>
      </c>
    </row>
    <row r="964" spans="6:9" x14ac:dyDescent="0.2">
      <c r="F964" s="4" t="str">
        <f>IF(LEN(TRIM(A964))=0,"",COUNTIFS(Students!H:H, A964))</f>
        <v/>
      </c>
      <c r="G964" s="4" t="str">
        <f>IF(LEN(TRIM(A964))=0,"",COUNTIFS(Students!H:H, A964, Students!D:D, "&gt;=0"))</f>
        <v/>
      </c>
      <c r="H964" s="4" t="str">
        <f t="shared" si="30"/>
        <v/>
      </c>
      <c r="I964" s="30" t="str">
        <f t="shared" si="31"/>
        <v/>
      </c>
    </row>
    <row r="965" spans="6:9" x14ac:dyDescent="0.2">
      <c r="F965" s="4" t="str">
        <f>IF(LEN(TRIM(A965))=0,"",COUNTIFS(Students!H:H, A965))</f>
        <v/>
      </c>
      <c r="G965" s="4" t="str">
        <f>IF(LEN(TRIM(A965))=0,"",COUNTIFS(Students!H:H, A965, Students!D:D, "&gt;=0"))</f>
        <v/>
      </c>
      <c r="H965" s="4" t="str">
        <f t="shared" si="30"/>
        <v/>
      </c>
      <c r="I965" s="30" t="str">
        <f t="shared" si="31"/>
        <v/>
      </c>
    </row>
    <row r="966" spans="6:9" x14ac:dyDescent="0.2">
      <c r="F966" s="4" t="str">
        <f>IF(LEN(TRIM(A966))=0,"",COUNTIFS(Students!H:H, A966))</f>
        <v/>
      </c>
      <c r="G966" s="4" t="str">
        <f>IF(LEN(TRIM(A966))=0,"",COUNTIFS(Students!H:H, A966, Students!D:D, "&gt;=0"))</f>
        <v/>
      </c>
      <c r="H966" s="4" t="str">
        <f t="shared" si="30"/>
        <v/>
      </c>
      <c r="I966" s="30" t="str">
        <f t="shared" si="31"/>
        <v/>
      </c>
    </row>
    <row r="967" spans="6:9" x14ac:dyDescent="0.2">
      <c r="F967" s="4" t="str">
        <f>IF(LEN(TRIM(A967))=0,"",COUNTIFS(Students!H:H, A967))</f>
        <v/>
      </c>
      <c r="G967" s="4" t="str">
        <f>IF(LEN(TRIM(A967))=0,"",COUNTIFS(Students!H:H, A967, Students!D:D, "&gt;=0"))</f>
        <v/>
      </c>
      <c r="H967" s="4" t="str">
        <f t="shared" si="30"/>
        <v/>
      </c>
      <c r="I967" s="30" t="str">
        <f t="shared" si="31"/>
        <v/>
      </c>
    </row>
    <row r="968" spans="6:9" x14ac:dyDescent="0.2">
      <c r="F968" s="4" t="str">
        <f>IF(LEN(TRIM(A968))=0,"",COUNTIFS(Students!H:H, A968))</f>
        <v/>
      </c>
      <c r="G968" s="4" t="str">
        <f>IF(LEN(TRIM(A968))=0,"",COUNTIFS(Students!H:H, A968, Students!D:D, "&gt;=0"))</f>
        <v/>
      </c>
      <c r="H968" s="4" t="str">
        <f t="shared" si="30"/>
        <v/>
      </c>
      <c r="I968" s="30" t="str">
        <f t="shared" si="31"/>
        <v/>
      </c>
    </row>
    <row r="969" spans="6:9" x14ac:dyDescent="0.2">
      <c r="F969" s="4" t="str">
        <f>IF(LEN(TRIM(A969))=0,"",COUNTIFS(Students!H:H, A969))</f>
        <v/>
      </c>
      <c r="G969" s="4" t="str">
        <f>IF(LEN(TRIM(A969))=0,"",COUNTIFS(Students!H:H, A969, Students!D:D, "&gt;=0"))</f>
        <v/>
      </c>
      <c r="H969" s="4" t="str">
        <f t="shared" si="30"/>
        <v/>
      </c>
      <c r="I969" s="30" t="str">
        <f t="shared" si="31"/>
        <v/>
      </c>
    </row>
    <row r="970" spans="6:9" x14ac:dyDescent="0.2">
      <c r="F970" s="4" t="str">
        <f>IF(LEN(TRIM(A970))=0,"",COUNTIFS(Students!H:H, A970))</f>
        <v/>
      </c>
      <c r="G970" s="4" t="str">
        <f>IF(LEN(TRIM(A970))=0,"",COUNTIFS(Students!H:H, A970, Students!D:D, "&gt;=0"))</f>
        <v/>
      </c>
      <c r="H970" s="4" t="str">
        <f t="shared" si="30"/>
        <v/>
      </c>
      <c r="I970" s="30" t="str">
        <f t="shared" si="31"/>
        <v/>
      </c>
    </row>
    <row r="971" spans="6:9" x14ac:dyDescent="0.2">
      <c r="F971" s="4" t="str">
        <f>IF(LEN(TRIM(A971))=0,"",COUNTIFS(Students!H:H, A971))</f>
        <v/>
      </c>
      <c r="G971" s="4" t="str">
        <f>IF(LEN(TRIM(A971))=0,"",COUNTIFS(Students!H:H, A971, Students!D:D, "&gt;=0"))</f>
        <v/>
      </c>
      <c r="H971" s="4" t="str">
        <f t="shared" si="30"/>
        <v/>
      </c>
      <c r="I971" s="30" t="str">
        <f t="shared" si="31"/>
        <v/>
      </c>
    </row>
    <row r="972" spans="6:9" x14ac:dyDescent="0.2">
      <c r="F972" s="4" t="str">
        <f>IF(LEN(TRIM(A972))=0,"",COUNTIFS(Students!H:H, A972))</f>
        <v/>
      </c>
      <c r="G972" s="4" t="str">
        <f>IF(LEN(TRIM(A972))=0,"",COUNTIFS(Students!H:H, A972, Students!D:D, "&gt;=0"))</f>
        <v/>
      </c>
      <c r="H972" s="4" t="str">
        <f t="shared" si="30"/>
        <v/>
      </c>
      <c r="I972" s="30" t="str">
        <f t="shared" si="31"/>
        <v/>
      </c>
    </row>
    <row r="973" spans="6:9" x14ac:dyDescent="0.2">
      <c r="F973" s="4" t="str">
        <f>IF(LEN(TRIM(A973))=0,"",COUNTIFS(Students!H:H, A973))</f>
        <v/>
      </c>
      <c r="G973" s="4" t="str">
        <f>IF(LEN(TRIM(A973))=0,"",COUNTIFS(Students!H:H, A973, Students!D:D, "&gt;=0"))</f>
        <v/>
      </c>
      <c r="H973" s="4" t="str">
        <f t="shared" si="30"/>
        <v/>
      </c>
      <c r="I973" s="30" t="str">
        <f t="shared" si="31"/>
        <v/>
      </c>
    </row>
    <row r="974" spans="6:9" x14ac:dyDescent="0.2">
      <c r="F974" s="4" t="str">
        <f>IF(LEN(TRIM(A974))=0,"",COUNTIFS(Students!H:H, A974))</f>
        <v/>
      </c>
      <c r="G974" s="4" t="str">
        <f>IF(LEN(TRIM(A974))=0,"",COUNTIFS(Students!H:H, A974, Students!D:D, "&gt;=0"))</f>
        <v/>
      </c>
      <c r="H974" s="4" t="str">
        <f t="shared" si="30"/>
        <v/>
      </c>
      <c r="I974" s="30" t="str">
        <f t="shared" si="31"/>
        <v/>
      </c>
    </row>
    <row r="975" spans="6:9" x14ac:dyDescent="0.2">
      <c r="F975" s="4" t="str">
        <f>IF(LEN(TRIM(A975))=0,"",COUNTIFS(Students!H:H, A975))</f>
        <v/>
      </c>
      <c r="G975" s="4" t="str">
        <f>IF(LEN(TRIM(A975))=0,"",COUNTIFS(Students!H:H, A975, Students!D:D, "&gt;=0"))</f>
        <v/>
      </c>
      <c r="H975" s="4" t="str">
        <f t="shared" si="30"/>
        <v/>
      </c>
      <c r="I975" s="30" t="str">
        <f t="shared" si="31"/>
        <v/>
      </c>
    </row>
    <row r="976" spans="6:9" x14ac:dyDescent="0.2">
      <c r="F976" s="4" t="str">
        <f>IF(LEN(TRIM(A976))=0,"",COUNTIFS(Students!H:H, A976))</f>
        <v/>
      </c>
      <c r="G976" s="4" t="str">
        <f>IF(LEN(TRIM(A976))=0,"",COUNTIFS(Students!H:H, A976, Students!D:D, "&gt;=0"))</f>
        <v/>
      </c>
      <c r="H976" s="4" t="str">
        <f t="shared" si="30"/>
        <v/>
      </c>
      <c r="I976" s="30" t="str">
        <f t="shared" si="31"/>
        <v/>
      </c>
    </row>
    <row r="977" spans="6:9" x14ac:dyDescent="0.2">
      <c r="F977" s="4" t="str">
        <f>IF(LEN(TRIM(A977))=0,"",COUNTIFS(Students!H:H, A977))</f>
        <v/>
      </c>
      <c r="G977" s="4" t="str">
        <f>IF(LEN(TRIM(A977))=0,"",COUNTIFS(Students!H:H, A977, Students!D:D, "&gt;=0"))</f>
        <v/>
      </c>
      <c r="H977" s="4" t="str">
        <f t="shared" si="30"/>
        <v/>
      </c>
      <c r="I977" s="30" t="str">
        <f t="shared" si="31"/>
        <v/>
      </c>
    </row>
    <row r="978" spans="6:9" x14ac:dyDescent="0.2">
      <c r="F978" s="4" t="str">
        <f>IF(LEN(TRIM(A978))=0,"",COUNTIFS(Students!H:H, A978))</f>
        <v/>
      </c>
      <c r="G978" s="4" t="str">
        <f>IF(LEN(TRIM(A978))=0,"",COUNTIFS(Students!H:H, A978, Students!D:D, "&gt;=0"))</f>
        <v/>
      </c>
      <c r="H978" s="4" t="str">
        <f t="shared" si="30"/>
        <v/>
      </c>
      <c r="I978" s="30" t="str">
        <f t="shared" si="31"/>
        <v/>
      </c>
    </row>
    <row r="979" spans="6:9" x14ac:dyDescent="0.2">
      <c r="F979" s="4" t="str">
        <f>IF(LEN(TRIM(A979))=0,"",COUNTIFS(Students!H:H, A979))</f>
        <v/>
      </c>
      <c r="G979" s="4" t="str">
        <f>IF(LEN(TRIM(A979))=0,"",COUNTIFS(Students!H:H, A979, Students!D:D, "&gt;=0"))</f>
        <v/>
      </c>
      <c r="H979" s="4" t="str">
        <f t="shared" si="30"/>
        <v/>
      </c>
      <c r="I979" s="30" t="str">
        <f t="shared" si="31"/>
        <v/>
      </c>
    </row>
    <row r="980" spans="6:9" x14ac:dyDescent="0.2">
      <c r="F980" s="4" t="str">
        <f>IF(LEN(TRIM(A980))=0,"",COUNTIFS(Students!H:H, A980))</f>
        <v/>
      </c>
      <c r="G980" s="4" t="str">
        <f>IF(LEN(TRIM(A980))=0,"",COUNTIFS(Students!H:H, A980, Students!D:D, "&gt;=0"))</f>
        <v/>
      </c>
      <c r="H980" s="4" t="str">
        <f t="shared" si="30"/>
        <v/>
      </c>
      <c r="I980" s="30" t="str">
        <f t="shared" si="31"/>
        <v/>
      </c>
    </row>
    <row r="981" spans="6:9" x14ac:dyDescent="0.2">
      <c r="F981" s="4" t="str">
        <f>IF(LEN(TRIM(A981))=0,"",COUNTIFS(Students!H:H, A981))</f>
        <v/>
      </c>
      <c r="G981" s="4" t="str">
        <f>IF(LEN(TRIM(A981))=0,"",COUNTIFS(Students!H:H, A981, Students!D:D, "&gt;=0"))</f>
        <v/>
      </c>
      <c r="H981" s="4" t="str">
        <f t="shared" si="30"/>
        <v/>
      </c>
      <c r="I981" s="30" t="str">
        <f t="shared" si="31"/>
        <v/>
      </c>
    </row>
    <row r="982" spans="6:9" x14ac:dyDescent="0.2">
      <c r="F982" s="4" t="str">
        <f>IF(LEN(TRIM(A982))=0,"",COUNTIFS(Students!H:H, A982))</f>
        <v/>
      </c>
      <c r="G982" s="4" t="str">
        <f>IF(LEN(TRIM(A982))=0,"",COUNTIFS(Students!H:H, A982, Students!D:D, "&gt;=0"))</f>
        <v/>
      </c>
      <c r="H982" s="4" t="str">
        <f t="shared" si="30"/>
        <v/>
      </c>
      <c r="I982" s="30" t="str">
        <f t="shared" si="31"/>
        <v/>
      </c>
    </row>
    <row r="983" spans="6:9" x14ac:dyDescent="0.2">
      <c r="F983" s="4" t="str">
        <f>IF(LEN(TRIM(A983))=0,"",COUNTIFS(Students!H:H, A983))</f>
        <v/>
      </c>
      <c r="G983" s="4" t="str">
        <f>IF(LEN(TRIM(A983))=0,"",COUNTIFS(Students!H:H, A983, Students!D:D, "&gt;=0"))</f>
        <v/>
      </c>
      <c r="H983" s="4" t="str">
        <f t="shared" si="30"/>
        <v/>
      </c>
      <c r="I983" s="30" t="str">
        <f t="shared" si="31"/>
        <v/>
      </c>
    </row>
    <row r="984" spans="6:9" x14ac:dyDescent="0.2">
      <c r="F984" s="4" t="str">
        <f>IF(LEN(TRIM(A984))=0,"",COUNTIFS(Students!H:H, A984))</f>
        <v/>
      </c>
      <c r="G984" s="4" t="str">
        <f>IF(LEN(TRIM(A984))=0,"",COUNTIFS(Students!H:H, A984, Students!D:D, "&gt;=0"))</f>
        <v/>
      </c>
      <c r="H984" s="4" t="str">
        <f t="shared" si="30"/>
        <v/>
      </c>
      <c r="I984" s="30" t="str">
        <f t="shared" si="31"/>
        <v/>
      </c>
    </row>
    <row r="985" spans="6:9" x14ac:dyDescent="0.2">
      <c r="F985" s="4" t="str">
        <f>IF(LEN(TRIM(A985))=0,"",COUNTIFS(Students!H:H, A985))</f>
        <v/>
      </c>
      <c r="G985" s="4" t="str">
        <f>IF(LEN(TRIM(A985))=0,"",COUNTIFS(Students!H:H, A985, Students!D:D, "&gt;=0"))</f>
        <v/>
      </c>
      <c r="H985" s="4" t="str">
        <f t="shared" si="30"/>
        <v/>
      </c>
      <c r="I985" s="30" t="str">
        <f t="shared" si="31"/>
        <v/>
      </c>
    </row>
    <row r="986" spans="6:9" x14ac:dyDescent="0.2">
      <c r="F986" s="4" t="str">
        <f>IF(LEN(TRIM(A986))=0,"",COUNTIFS(Students!H:H, A986))</f>
        <v/>
      </c>
      <c r="G986" s="4" t="str">
        <f>IF(LEN(TRIM(A986))=0,"",COUNTIFS(Students!H:H, A986, Students!D:D, "&gt;=0"))</f>
        <v/>
      </c>
      <c r="H986" s="4" t="str">
        <f t="shared" si="30"/>
        <v/>
      </c>
      <c r="I986" s="30" t="str">
        <f t="shared" si="31"/>
        <v/>
      </c>
    </row>
    <row r="987" spans="6:9" x14ac:dyDescent="0.2">
      <c r="F987" s="4" t="str">
        <f>IF(LEN(TRIM(A987))=0,"",COUNTIFS(Students!H:H, A987))</f>
        <v/>
      </c>
      <c r="G987" s="4" t="str">
        <f>IF(LEN(TRIM(A987))=0,"",COUNTIFS(Students!H:H, A987, Students!D:D, "&gt;=0"))</f>
        <v/>
      </c>
      <c r="H987" s="4" t="str">
        <f t="shared" si="30"/>
        <v/>
      </c>
      <c r="I987" s="30" t="str">
        <f t="shared" si="31"/>
        <v/>
      </c>
    </row>
    <row r="988" spans="6:9" x14ac:dyDescent="0.2">
      <c r="F988" s="4" t="str">
        <f>IF(LEN(TRIM(A988))=0,"",COUNTIFS(Students!H:H, A988))</f>
        <v/>
      </c>
      <c r="G988" s="4" t="str">
        <f>IF(LEN(TRIM(A988))=0,"",COUNTIFS(Students!H:H, A988, Students!D:D, "&gt;=0"))</f>
        <v/>
      </c>
      <c r="H988" s="4" t="str">
        <f t="shared" si="30"/>
        <v/>
      </c>
      <c r="I988" s="30" t="str">
        <f t="shared" si="31"/>
        <v/>
      </c>
    </row>
    <row r="989" spans="6:9" x14ac:dyDescent="0.2">
      <c r="F989" s="4" t="str">
        <f>IF(LEN(TRIM(A989))=0,"",COUNTIFS(Students!H:H, A989))</f>
        <v/>
      </c>
      <c r="G989" s="4" t="str">
        <f>IF(LEN(TRIM(A989))=0,"",COUNTIFS(Students!H:H, A989, Students!D:D, "&gt;=0"))</f>
        <v/>
      </c>
      <c r="H989" s="4" t="str">
        <f t="shared" si="30"/>
        <v/>
      </c>
      <c r="I989" s="30" t="str">
        <f t="shared" si="31"/>
        <v/>
      </c>
    </row>
    <row r="990" spans="6:9" x14ac:dyDescent="0.2">
      <c r="F990" s="4" t="str">
        <f>IF(LEN(TRIM(A990))=0,"",COUNTIFS(Students!H:H, A990))</f>
        <v/>
      </c>
      <c r="G990" s="4" t="str">
        <f>IF(LEN(TRIM(A990))=0,"",COUNTIFS(Students!H:H, A990, Students!D:D, "&gt;=0"))</f>
        <v/>
      </c>
      <c r="H990" s="4" t="str">
        <f t="shared" si="30"/>
        <v/>
      </c>
      <c r="I990" s="30" t="str">
        <f t="shared" si="31"/>
        <v/>
      </c>
    </row>
    <row r="991" spans="6:9" x14ac:dyDescent="0.2">
      <c r="F991" s="4" t="str">
        <f>IF(LEN(TRIM(A991))=0,"",COUNTIFS(Students!H:H, A991))</f>
        <v/>
      </c>
      <c r="G991" s="4" t="str">
        <f>IF(LEN(TRIM(A991))=0,"",COUNTIFS(Students!H:H, A991, Students!D:D, "&gt;=0"))</f>
        <v/>
      </c>
      <c r="H991" s="4" t="str">
        <f t="shared" si="30"/>
        <v/>
      </c>
      <c r="I991" s="30" t="str">
        <f t="shared" si="31"/>
        <v/>
      </c>
    </row>
    <row r="992" spans="6:9" x14ac:dyDescent="0.2">
      <c r="F992" s="4" t="str">
        <f>IF(LEN(TRIM(A992))=0,"",COUNTIFS(Students!H:H, A992))</f>
        <v/>
      </c>
      <c r="G992" s="4" t="str">
        <f>IF(LEN(TRIM(A992))=0,"",COUNTIFS(Students!H:H, A992, Students!D:D, "&gt;=0"))</f>
        <v/>
      </c>
      <c r="H992" s="4" t="str">
        <f t="shared" si="30"/>
        <v/>
      </c>
      <c r="I992" s="30" t="str">
        <f t="shared" si="31"/>
        <v/>
      </c>
    </row>
    <row r="993" spans="6:9" x14ac:dyDescent="0.2">
      <c r="F993" s="4" t="str">
        <f>IF(LEN(TRIM(A993))=0,"",COUNTIFS(Students!H:H, A993))</f>
        <v/>
      </c>
      <c r="G993" s="4" t="str">
        <f>IF(LEN(TRIM(A993))=0,"",COUNTIFS(Students!H:H, A993, Students!D:D, "&gt;=0"))</f>
        <v/>
      </c>
      <c r="H993" s="4" t="str">
        <f t="shared" si="30"/>
        <v/>
      </c>
      <c r="I993" s="30" t="str">
        <f t="shared" si="31"/>
        <v/>
      </c>
    </row>
    <row r="994" spans="6:9" x14ac:dyDescent="0.2">
      <c r="F994" s="4" t="str">
        <f>IF(LEN(TRIM(A994))=0,"",COUNTIFS(Students!H:H, A994))</f>
        <v/>
      </c>
      <c r="G994" s="4" t="str">
        <f>IF(LEN(TRIM(A994))=0,"",COUNTIFS(Students!H:H, A994, Students!D:D, "&gt;=0"))</f>
        <v/>
      </c>
      <c r="H994" s="4" t="str">
        <f t="shared" si="30"/>
        <v/>
      </c>
      <c r="I994" s="30" t="str">
        <f t="shared" si="31"/>
        <v/>
      </c>
    </row>
    <row r="995" spans="6:9" x14ac:dyDescent="0.2">
      <c r="F995" s="4" t="str">
        <f>IF(LEN(TRIM(A995))=0,"",COUNTIFS(Students!H:H, A995))</f>
        <v/>
      </c>
      <c r="G995" s="4" t="str">
        <f>IF(LEN(TRIM(A995))=0,"",COUNTIFS(Students!H:H, A995, Students!D:D, "&gt;=0"))</f>
        <v/>
      </c>
      <c r="H995" s="4" t="str">
        <f t="shared" si="30"/>
        <v/>
      </c>
      <c r="I995" s="30" t="str">
        <f t="shared" si="31"/>
        <v/>
      </c>
    </row>
    <row r="996" spans="6:9" x14ac:dyDescent="0.2">
      <c r="F996" s="4" t="str">
        <f>IF(LEN(TRIM(A996))=0,"",COUNTIFS(Students!H:H, A996))</f>
        <v/>
      </c>
      <c r="G996" s="4" t="str">
        <f>IF(LEN(TRIM(A996))=0,"",COUNTIFS(Students!H:H, A996, Students!D:D, "&gt;=0"))</f>
        <v/>
      </c>
      <c r="H996" s="4" t="str">
        <f t="shared" si="30"/>
        <v/>
      </c>
      <c r="I996" s="30" t="str">
        <f t="shared" si="31"/>
        <v/>
      </c>
    </row>
    <row r="997" spans="6:9" x14ac:dyDescent="0.2">
      <c r="F997" s="4" t="str">
        <f>IF(LEN(TRIM(A997))=0,"",COUNTIFS(Students!H:H, A997))</f>
        <v/>
      </c>
      <c r="G997" s="4" t="str">
        <f>IF(LEN(TRIM(A997))=0,"",COUNTIFS(Students!H:H, A997, Students!D:D, "&gt;=0"))</f>
        <v/>
      </c>
      <c r="H997" s="4" t="str">
        <f t="shared" si="30"/>
        <v/>
      </c>
      <c r="I997" s="30" t="str">
        <f t="shared" si="31"/>
        <v/>
      </c>
    </row>
    <row r="998" spans="6:9" x14ac:dyDescent="0.2">
      <c r="F998" s="4" t="str">
        <f>IF(LEN(TRIM(A998))=0,"",COUNTIFS(Students!H:H, A998))</f>
        <v/>
      </c>
      <c r="G998" s="4" t="str">
        <f>IF(LEN(TRIM(A998))=0,"",COUNTIFS(Students!H:H, A998, Students!D:D, "&gt;=0"))</f>
        <v/>
      </c>
      <c r="H998" s="4" t="str">
        <f t="shared" si="30"/>
        <v/>
      </c>
      <c r="I998" s="30" t="str">
        <f t="shared" si="31"/>
        <v/>
      </c>
    </row>
    <row r="999" spans="6:9" x14ac:dyDescent="0.2">
      <c r="F999" s="4" t="str">
        <f>IF(LEN(TRIM(A999))=0,"",COUNTIFS(Students!H:H, A999))</f>
        <v/>
      </c>
      <c r="G999" s="4" t="str">
        <f>IF(LEN(TRIM(A999))=0,"",COUNTIFS(Students!H:H, A999, Students!D:D, "&gt;=0"))</f>
        <v/>
      </c>
      <c r="H999" s="4" t="str">
        <f t="shared" si="30"/>
        <v/>
      </c>
      <c r="I999" s="30" t="str">
        <f t="shared" si="31"/>
        <v/>
      </c>
    </row>
    <row r="1000" spans="6:9" x14ac:dyDescent="0.2">
      <c r="F1000" s="4" t="str">
        <f>IF(LEN(TRIM(A1000))=0,"",COUNTIFS(Students!H:H, A1000))</f>
        <v/>
      </c>
      <c r="G1000" s="4" t="str">
        <f>IF(LEN(TRIM(A1000))=0,"",COUNTIFS(Students!H:H, A1000, Students!D:D, "&gt;=0"))</f>
        <v/>
      </c>
      <c r="H1000" s="4" t="str">
        <f t="shared" si="30"/>
        <v/>
      </c>
      <c r="I1000" s="30" t="str">
        <f t="shared" si="31"/>
        <v/>
      </c>
    </row>
    <row r="1001" spans="6:9" x14ac:dyDescent="0.2">
      <c r="F1001" s="4" t="str">
        <f>IF(LEN(TRIM(A1001))=0,"",COUNTIFS(Students!H:H, A1001))</f>
        <v/>
      </c>
      <c r="G1001" s="4" t="str">
        <f>IF(LEN(TRIM(A1001))=0,"",COUNTIFS(Students!H:H, A1001, Students!D:D, "&gt;=0"))</f>
        <v/>
      </c>
      <c r="H1001" s="4" t="str">
        <f t="shared" si="30"/>
        <v/>
      </c>
      <c r="I1001" s="30" t="str">
        <f t="shared" si="31"/>
        <v/>
      </c>
    </row>
    <row r="1002" spans="6:9" x14ac:dyDescent="0.2">
      <c r="F1002" s="4" t="str">
        <f>IF(LEN(TRIM(A1002))=0,"",COUNTIFS(Students!H:H, A1002))</f>
        <v/>
      </c>
      <c r="G1002" s="4" t="str">
        <f>IF(LEN(TRIM(A1002))=0,"",COUNTIFS(Students!H:H, A1002, Students!D:D, "&gt;=0"))</f>
        <v/>
      </c>
      <c r="H1002" s="4" t="str">
        <f t="shared" si="30"/>
        <v/>
      </c>
      <c r="I1002" s="30" t="str">
        <f t="shared" si="31"/>
        <v/>
      </c>
    </row>
    <row r="1003" spans="6:9" x14ac:dyDescent="0.2">
      <c r="F1003" s="4" t="str">
        <f>IF(LEN(TRIM(A1003))=0,"",COUNTIFS(Students!H:H, A1003))</f>
        <v/>
      </c>
      <c r="G1003" s="4" t="str">
        <f>IF(LEN(TRIM(A1003))=0,"",COUNTIFS(Students!H:H, A1003, Students!D:D, "&gt;=0"))</f>
        <v/>
      </c>
      <c r="H1003" s="4" t="str">
        <f t="shared" si="30"/>
        <v/>
      </c>
      <c r="I1003" s="30" t="str">
        <f t="shared" si="31"/>
        <v/>
      </c>
    </row>
    <row r="1004" spans="6:9" x14ac:dyDescent="0.2">
      <c r="F1004" s="4" t="str">
        <f>IF(LEN(TRIM(A1004))=0,"",COUNTIFS(Students!H:H, A1004))</f>
        <v/>
      </c>
      <c r="G1004" s="4" t="str">
        <f>IF(LEN(TRIM(A1004))=0,"",COUNTIFS(Students!H:H, A1004, Students!D:D, "&gt;=0"))</f>
        <v/>
      </c>
      <c r="H1004" s="4" t="str">
        <f t="shared" si="30"/>
        <v/>
      </c>
      <c r="I1004" s="30" t="str">
        <f t="shared" si="31"/>
        <v/>
      </c>
    </row>
    <row r="1005" spans="6:9" x14ac:dyDescent="0.2">
      <c r="F1005" s="4" t="str">
        <f>IF(LEN(TRIM(A1005))=0,"",COUNTIFS(Students!H:H, A1005))</f>
        <v/>
      </c>
      <c r="G1005" s="4" t="str">
        <f>IF(LEN(TRIM(A1005))=0,"",COUNTIFS(Students!H:H, A1005, Students!D:D, "&gt;=0"))</f>
        <v/>
      </c>
      <c r="H1005" s="4" t="str">
        <f t="shared" si="30"/>
        <v/>
      </c>
      <c r="I1005" s="30" t="str">
        <f t="shared" si="31"/>
        <v/>
      </c>
    </row>
    <row r="1006" spans="6:9" x14ac:dyDescent="0.2">
      <c r="F1006" s="4" t="str">
        <f>IF(LEN(TRIM(A1006))=0,"",COUNTIFS(Students!H:H, A1006))</f>
        <v/>
      </c>
      <c r="G1006" s="4" t="str">
        <f>IF(LEN(TRIM(A1006))=0,"",COUNTIFS(Students!H:H, A1006, Students!D:D, "&gt;=0"))</f>
        <v/>
      </c>
      <c r="H1006" s="4" t="str">
        <f t="shared" si="30"/>
        <v/>
      </c>
      <c r="I1006" s="30" t="str">
        <f t="shared" si="31"/>
        <v/>
      </c>
    </row>
    <row r="1007" spans="6:9" x14ac:dyDescent="0.2">
      <c r="F1007" s="4" t="str">
        <f>IF(LEN(TRIM(A1007))=0,"",COUNTIFS(Students!H:H, A1007))</f>
        <v/>
      </c>
      <c r="G1007" s="4" t="str">
        <f>IF(LEN(TRIM(A1007))=0,"",COUNTIFS(Students!H:H, A1007, Students!D:D, "&gt;=0"))</f>
        <v/>
      </c>
      <c r="H1007" s="4" t="str">
        <f t="shared" si="30"/>
        <v/>
      </c>
      <c r="I1007" s="30" t="str">
        <f t="shared" si="31"/>
        <v/>
      </c>
    </row>
    <row r="1008" spans="6:9" x14ac:dyDescent="0.2">
      <c r="F1008" s="4" t="str">
        <f>IF(LEN(TRIM(A1008))=0,"",COUNTIFS(Students!H:H, A1008))</f>
        <v/>
      </c>
      <c r="G1008" s="4" t="str">
        <f>IF(LEN(TRIM(A1008))=0,"",COUNTIFS(Students!H:H, A1008, Students!D:D, "&gt;=0"))</f>
        <v/>
      </c>
      <c r="H1008" s="4" t="str">
        <f t="shared" si="30"/>
        <v/>
      </c>
      <c r="I1008" s="30" t="str">
        <f t="shared" si="31"/>
        <v/>
      </c>
    </row>
    <row r="1009" spans="6:9" x14ac:dyDescent="0.2">
      <c r="F1009" s="4" t="str">
        <f>IF(LEN(TRIM(A1009))=0,"",COUNTIFS(Students!H:H, A1009))</f>
        <v/>
      </c>
      <c r="G1009" s="4" t="str">
        <f>IF(LEN(TRIM(A1009))=0,"",COUNTIFS(Students!H:H, A1009, Students!D:D, "&gt;=0"))</f>
        <v/>
      </c>
      <c r="H1009" s="4" t="str">
        <f t="shared" si="30"/>
        <v/>
      </c>
      <c r="I1009" s="30" t="str">
        <f t="shared" si="31"/>
        <v/>
      </c>
    </row>
    <row r="1010" spans="6:9" x14ac:dyDescent="0.2">
      <c r="F1010" s="4" t="str">
        <f>IF(LEN(TRIM(A1010))=0,"",COUNTIFS(Students!H:H, A1010))</f>
        <v/>
      </c>
      <c r="G1010" s="4" t="str">
        <f>IF(LEN(TRIM(A1010))=0,"",COUNTIFS(Students!H:H, A1010, Students!D:D, "&gt;=0"))</f>
        <v/>
      </c>
      <c r="H1010" s="4" t="str">
        <f t="shared" si="30"/>
        <v/>
      </c>
      <c r="I1010" s="30" t="str">
        <f t="shared" si="31"/>
        <v/>
      </c>
    </row>
    <row r="1011" spans="6:9" x14ac:dyDescent="0.2">
      <c r="F1011" s="4" t="str">
        <f>IF(LEN(TRIM(A1011))=0,"",COUNTIFS(Students!H:H, A1011))</f>
        <v/>
      </c>
      <c r="G1011" s="4" t="str">
        <f>IF(LEN(TRIM(A1011))=0,"",COUNTIFS(Students!H:H, A1011, Students!D:D, "&gt;=0"))</f>
        <v/>
      </c>
      <c r="H1011" s="4" t="str">
        <f t="shared" si="30"/>
        <v/>
      </c>
      <c r="I1011" s="30" t="str">
        <f t="shared" si="31"/>
        <v/>
      </c>
    </row>
    <row r="1012" spans="6:9" x14ac:dyDescent="0.2">
      <c r="F1012" s="4" t="str">
        <f>IF(LEN(TRIM(A1012))=0,"",COUNTIFS(Students!H:H, A1012))</f>
        <v/>
      </c>
      <c r="G1012" s="4" t="str">
        <f>IF(LEN(TRIM(A1012))=0,"",COUNTIFS(Students!H:H, A1012, Students!D:D, "&gt;=0"))</f>
        <v/>
      </c>
      <c r="H1012" s="4" t="str">
        <f t="shared" si="30"/>
        <v/>
      </c>
      <c r="I1012" s="30" t="str">
        <f t="shared" si="31"/>
        <v/>
      </c>
    </row>
    <row r="1013" spans="6:9" x14ac:dyDescent="0.2">
      <c r="F1013" s="4" t="str">
        <f>IF(LEN(TRIM(A1013))=0,"",COUNTIFS(Students!H:H, A1013))</f>
        <v/>
      </c>
      <c r="G1013" s="4" t="str">
        <f>IF(LEN(TRIM(A1013))=0,"",COUNTIFS(Students!H:H, A1013, Students!D:D, "&gt;=0"))</f>
        <v/>
      </c>
      <c r="H1013" s="4" t="str">
        <f t="shared" si="30"/>
        <v/>
      </c>
      <c r="I1013" s="30" t="str">
        <f t="shared" si="31"/>
        <v/>
      </c>
    </row>
    <row r="1014" spans="6:9" x14ac:dyDescent="0.2">
      <c r="F1014" s="4" t="str">
        <f>IF(LEN(TRIM(A1014))=0,"",COUNTIFS(Students!H:H, A1014))</f>
        <v/>
      </c>
      <c r="G1014" s="4" t="str">
        <f>IF(LEN(TRIM(A1014))=0,"",COUNTIFS(Students!H:H, A1014, Students!D:D, "&gt;=0"))</f>
        <v/>
      </c>
      <c r="H1014" s="4" t="str">
        <f t="shared" si="30"/>
        <v/>
      </c>
      <c r="I1014" s="30" t="str">
        <f t="shared" si="31"/>
        <v/>
      </c>
    </row>
    <row r="1015" spans="6:9" x14ac:dyDescent="0.2">
      <c r="F1015" s="4" t="str">
        <f>IF(LEN(TRIM(A1015))=0,"",COUNTIFS(Students!H:H, A1015))</f>
        <v/>
      </c>
      <c r="G1015" s="4" t="str">
        <f>IF(LEN(TRIM(A1015))=0,"",COUNTIFS(Students!H:H, A1015, Students!D:D, "&gt;=0"))</f>
        <v/>
      </c>
      <c r="H1015" s="4" t="str">
        <f t="shared" si="30"/>
        <v/>
      </c>
      <c r="I1015" s="30" t="str">
        <f t="shared" si="31"/>
        <v/>
      </c>
    </row>
    <row r="1016" spans="6:9" x14ac:dyDescent="0.2">
      <c r="F1016" s="4" t="str">
        <f>IF(LEN(TRIM(A1016))=0,"",COUNTIFS(Students!H:H, A1016))</f>
        <v/>
      </c>
      <c r="G1016" s="4" t="str">
        <f>IF(LEN(TRIM(A1016))=0,"",COUNTIFS(Students!H:H, A1016, Students!D:D, "&gt;=0"))</f>
        <v/>
      </c>
      <c r="H1016" s="4" t="str">
        <f t="shared" si="30"/>
        <v/>
      </c>
      <c r="I1016" s="30" t="str">
        <f t="shared" si="31"/>
        <v/>
      </c>
    </row>
    <row r="1017" spans="6:9" x14ac:dyDescent="0.2">
      <c r="F1017" s="4" t="str">
        <f>IF(LEN(TRIM(A1017))=0,"",COUNTIFS(Students!H:H, A1017))</f>
        <v/>
      </c>
      <c r="G1017" s="4" t="str">
        <f>IF(LEN(TRIM(A1017))=0,"",COUNTIFS(Students!H:H, A1017, Students!D:D, "&gt;=0"))</f>
        <v/>
      </c>
      <c r="H1017" s="4" t="str">
        <f t="shared" si="30"/>
        <v/>
      </c>
      <c r="I1017" s="30" t="str">
        <f t="shared" si="31"/>
        <v/>
      </c>
    </row>
    <row r="1018" spans="6:9" x14ac:dyDescent="0.2">
      <c r="F1018" s="4" t="str">
        <f>IF(LEN(TRIM(A1018))=0,"",COUNTIFS(Students!H:H, A1018))</f>
        <v/>
      </c>
      <c r="G1018" s="4" t="str">
        <f>IF(LEN(TRIM(A1018))=0,"",COUNTIFS(Students!H:H, A1018, Students!D:D, "&gt;=0"))</f>
        <v/>
      </c>
      <c r="H1018" s="4" t="str">
        <f t="shared" si="30"/>
        <v/>
      </c>
      <c r="I1018" s="30" t="str">
        <f t="shared" si="31"/>
        <v/>
      </c>
    </row>
    <row r="1019" spans="6:9" x14ac:dyDescent="0.2">
      <c r="F1019" s="4" t="str">
        <f>IF(LEN(TRIM(A1019))=0,"",COUNTIFS(Students!H:H, A1019))</f>
        <v/>
      </c>
      <c r="G1019" s="4" t="str">
        <f>IF(LEN(TRIM(A1019))=0,"",COUNTIFS(Students!H:H, A1019, Students!D:D, "&gt;=0"))</f>
        <v/>
      </c>
      <c r="H1019" s="4" t="str">
        <f t="shared" si="30"/>
        <v/>
      </c>
      <c r="I1019" s="30" t="str">
        <f t="shared" si="31"/>
        <v/>
      </c>
    </row>
    <row r="1020" spans="6:9" x14ac:dyDescent="0.2">
      <c r="F1020" s="4" t="str">
        <f>IF(LEN(TRIM(A1020))=0,"",COUNTIFS(Students!H:H, A1020))</f>
        <v/>
      </c>
      <c r="G1020" s="4" t="str">
        <f>IF(LEN(TRIM(A1020))=0,"",COUNTIFS(Students!H:H, A1020, Students!D:D, "&gt;=0"))</f>
        <v/>
      </c>
      <c r="H1020" s="4" t="str">
        <f t="shared" si="30"/>
        <v/>
      </c>
      <c r="I1020" s="30" t="str">
        <f t="shared" si="31"/>
        <v/>
      </c>
    </row>
    <row r="1021" spans="6:9" x14ac:dyDescent="0.2">
      <c r="F1021" s="4" t="str">
        <f>IF(LEN(TRIM(A1021))=0,"",COUNTIFS(Students!H:H, A1021))</f>
        <v/>
      </c>
      <c r="G1021" s="4" t="str">
        <f>IF(LEN(TRIM(A1021))=0,"",COUNTIFS(Students!H:H, A1021, Students!D:D, "&gt;=0"))</f>
        <v/>
      </c>
      <c r="H1021" s="4" t="str">
        <f t="shared" si="30"/>
        <v/>
      </c>
      <c r="I1021" s="30" t="str">
        <f t="shared" si="31"/>
        <v/>
      </c>
    </row>
    <row r="1022" spans="6:9" x14ac:dyDescent="0.2">
      <c r="F1022" s="4" t="str">
        <f>IF(LEN(TRIM(A1022))=0,"",COUNTIFS(Students!H:H, A1022))</f>
        <v/>
      </c>
      <c r="G1022" s="4" t="str">
        <f>IF(LEN(TRIM(A1022))=0,"",COUNTIFS(Students!H:H, A1022, Students!D:D, "&gt;=0"))</f>
        <v/>
      </c>
      <c r="H1022" s="4" t="str">
        <f t="shared" si="30"/>
        <v/>
      </c>
      <c r="I1022" s="30" t="str">
        <f t="shared" si="31"/>
        <v/>
      </c>
    </row>
    <row r="1023" spans="6:9" x14ac:dyDescent="0.2">
      <c r="F1023" s="4" t="str">
        <f>IF(LEN(TRIM(A1023))=0,"",COUNTIFS(Students!H:H, A1023))</f>
        <v/>
      </c>
      <c r="G1023" s="4" t="str">
        <f>IF(LEN(TRIM(A1023))=0,"",COUNTIFS(Students!H:H, A1023, Students!D:D, "&gt;=0"))</f>
        <v/>
      </c>
      <c r="H1023" s="4" t="str">
        <f t="shared" si="30"/>
        <v/>
      </c>
      <c r="I1023" s="30" t="str">
        <f t="shared" si="31"/>
        <v/>
      </c>
    </row>
    <row r="1024" spans="6:9" x14ac:dyDescent="0.2">
      <c r="F1024" s="4" t="str">
        <f>IF(LEN(TRIM(A1024))=0,"",COUNTIFS(Students!H:H, A1024))</f>
        <v/>
      </c>
      <c r="G1024" s="4" t="str">
        <f>IF(LEN(TRIM(A1024))=0,"",COUNTIFS(Students!H:H, A1024, Students!D:D, "&gt;=0"))</f>
        <v/>
      </c>
      <c r="H1024" s="4" t="str">
        <f t="shared" si="30"/>
        <v/>
      </c>
      <c r="I1024" s="30" t="str">
        <f t="shared" si="31"/>
        <v/>
      </c>
    </row>
    <row r="1025" spans="6:9" x14ac:dyDescent="0.2">
      <c r="F1025" s="4" t="str">
        <f>IF(LEN(TRIM(A1025))=0,"",COUNTIFS(Students!H:H, A1025))</f>
        <v/>
      </c>
      <c r="G1025" s="4" t="str">
        <f>IF(LEN(TRIM(A1025))=0,"",COUNTIFS(Students!H:H, A1025, Students!D:D, "&gt;=0"))</f>
        <v/>
      </c>
      <c r="H1025" s="4" t="str">
        <f t="shared" si="30"/>
        <v/>
      </c>
      <c r="I1025" s="30" t="str">
        <f t="shared" si="31"/>
        <v/>
      </c>
    </row>
    <row r="1026" spans="6:9" x14ac:dyDescent="0.2">
      <c r="F1026" s="4" t="str">
        <f>IF(LEN(TRIM(A1026))=0,"",COUNTIFS(Students!H:H, A1026))</f>
        <v/>
      </c>
      <c r="G1026" s="4" t="str">
        <f>IF(LEN(TRIM(A1026))=0,"",COUNTIFS(Students!H:H, A1026, Students!D:D, "&gt;=0"))</f>
        <v/>
      </c>
      <c r="H1026" s="4" t="str">
        <f t="shared" si="30"/>
        <v/>
      </c>
      <c r="I1026" s="30" t="str">
        <f t="shared" si="31"/>
        <v/>
      </c>
    </row>
    <row r="1027" spans="6:9" x14ac:dyDescent="0.2">
      <c r="F1027" s="4" t="str">
        <f>IF(LEN(TRIM(A1027))=0,"",COUNTIFS(Students!H:H, A1027))</f>
        <v/>
      </c>
      <c r="G1027" s="4" t="str">
        <f>IF(LEN(TRIM(A1027))=0,"",COUNTIFS(Students!H:H, A1027, Students!D:D, "&gt;=0"))</f>
        <v/>
      </c>
      <c r="H1027" s="4" t="str">
        <f t="shared" ref="H1027:H1090" si="32">IFERROR(F1027-G1027,"")</f>
        <v/>
      </c>
      <c r="I1027" s="30" t="str">
        <f t="shared" ref="I1027:I1090" si="33">IFERROR(IF(F1027=0, "N/A", G1027/F1027),"")</f>
        <v/>
      </c>
    </row>
    <row r="1028" spans="6:9" x14ac:dyDescent="0.2">
      <c r="F1028" s="4" t="str">
        <f>IF(LEN(TRIM(A1028))=0,"",COUNTIFS(Students!H:H, A1028))</f>
        <v/>
      </c>
      <c r="G1028" s="4" t="str">
        <f>IF(LEN(TRIM(A1028))=0,"",COUNTIFS(Students!H:H, A1028, Students!D:D, "&gt;=0"))</f>
        <v/>
      </c>
      <c r="H1028" s="4" t="str">
        <f t="shared" si="32"/>
        <v/>
      </c>
      <c r="I1028" s="30" t="str">
        <f t="shared" si="33"/>
        <v/>
      </c>
    </row>
    <row r="1029" spans="6:9" x14ac:dyDescent="0.2">
      <c r="F1029" s="4" t="str">
        <f>IF(LEN(TRIM(A1029))=0,"",COUNTIFS(Students!H:H, A1029))</f>
        <v/>
      </c>
      <c r="G1029" s="4" t="str">
        <f>IF(LEN(TRIM(A1029))=0,"",COUNTIFS(Students!H:H, A1029, Students!D:D, "&gt;=0"))</f>
        <v/>
      </c>
      <c r="H1029" s="4" t="str">
        <f t="shared" si="32"/>
        <v/>
      </c>
      <c r="I1029" s="30" t="str">
        <f t="shared" si="33"/>
        <v/>
      </c>
    </row>
    <row r="1030" spans="6:9" x14ac:dyDescent="0.2">
      <c r="F1030" s="4" t="str">
        <f>IF(LEN(TRIM(A1030))=0,"",COUNTIFS(Students!H:H, A1030))</f>
        <v/>
      </c>
      <c r="G1030" s="4" t="str">
        <f>IF(LEN(TRIM(A1030))=0,"",COUNTIFS(Students!H:H, A1030, Students!D:D, "&gt;=0"))</f>
        <v/>
      </c>
      <c r="H1030" s="4" t="str">
        <f t="shared" si="32"/>
        <v/>
      </c>
      <c r="I1030" s="30" t="str">
        <f t="shared" si="33"/>
        <v/>
      </c>
    </row>
    <row r="1031" spans="6:9" x14ac:dyDescent="0.2">
      <c r="F1031" s="4" t="str">
        <f>IF(LEN(TRIM(A1031))=0,"",COUNTIFS(Students!H:H, A1031))</f>
        <v/>
      </c>
      <c r="G1031" s="4" t="str">
        <f>IF(LEN(TRIM(A1031))=0,"",COUNTIFS(Students!H:H, A1031, Students!D:D, "&gt;=0"))</f>
        <v/>
      </c>
      <c r="H1031" s="4" t="str">
        <f t="shared" si="32"/>
        <v/>
      </c>
      <c r="I1031" s="30" t="str">
        <f t="shared" si="33"/>
        <v/>
      </c>
    </row>
    <row r="1032" spans="6:9" x14ac:dyDescent="0.2">
      <c r="F1032" s="4" t="str">
        <f>IF(LEN(TRIM(A1032))=0,"",COUNTIFS(Students!H:H, A1032))</f>
        <v/>
      </c>
      <c r="G1032" s="4" t="str">
        <f>IF(LEN(TRIM(A1032))=0,"",COUNTIFS(Students!H:H, A1032, Students!D:D, "&gt;=0"))</f>
        <v/>
      </c>
      <c r="H1032" s="4" t="str">
        <f t="shared" si="32"/>
        <v/>
      </c>
      <c r="I1032" s="30" t="str">
        <f t="shared" si="33"/>
        <v/>
      </c>
    </row>
    <row r="1033" spans="6:9" x14ac:dyDescent="0.2">
      <c r="F1033" s="4" t="str">
        <f>IF(LEN(TRIM(A1033))=0,"",COUNTIFS(Students!H:H, A1033))</f>
        <v/>
      </c>
      <c r="G1033" s="4" t="str">
        <f>IF(LEN(TRIM(A1033))=0,"",COUNTIFS(Students!H:H, A1033, Students!D:D, "&gt;=0"))</f>
        <v/>
      </c>
      <c r="H1033" s="4" t="str">
        <f t="shared" si="32"/>
        <v/>
      </c>
      <c r="I1033" s="30" t="str">
        <f t="shared" si="33"/>
        <v/>
      </c>
    </row>
    <row r="1034" spans="6:9" x14ac:dyDescent="0.2">
      <c r="F1034" s="4" t="str">
        <f>IF(LEN(TRIM(A1034))=0,"",COUNTIFS(Students!H:H, A1034))</f>
        <v/>
      </c>
      <c r="G1034" s="4" t="str">
        <f>IF(LEN(TRIM(A1034))=0,"",COUNTIFS(Students!H:H, A1034, Students!D:D, "&gt;=0"))</f>
        <v/>
      </c>
      <c r="H1034" s="4" t="str">
        <f t="shared" si="32"/>
        <v/>
      </c>
      <c r="I1034" s="30" t="str">
        <f t="shared" si="33"/>
        <v/>
      </c>
    </row>
    <row r="1035" spans="6:9" x14ac:dyDescent="0.2">
      <c r="F1035" s="4" t="str">
        <f>IF(LEN(TRIM(A1035))=0,"",COUNTIFS(Students!H:H, A1035))</f>
        <v/>
      </c>
      <c r="G1035" s="4" t="str">
        <f>IF(LEN(TRIM(A1035))=0,"",COUNTIFS(Students!H:H, A1035, Students!D:D, "&gt;=0"))</f>
        <v/>
      </c>
      <c r="H1035" s="4" t="str">
        <f t="shared" si="32"/>
        <v/>
      </c>
      <c r="I1035" s="30" t="str">
        <f t="shared" si="33"/>
        <v/>
      </c>
    </row>
    <row r="1036" spans="6:9" x14ac:dyDescent="0.2">
      <c r="F1036" s="4" t="str">
        <f>IF(LEN(TRIM(A1036))=0,"",COUNTIFS(Students!H:H, A1036))</f>
        <v/>
      </c>
      <c r="G1036" s="4" t="str">
        <f>IF(LEN(TRIM(A1036))=0,"",COUNTIFS(Students!H:H, A1036, Students!D:D, "&gt;=0"))</f>
        <v/>
      </c>
      <c r="H1036" s="4" t="str">
        <f t="shared" si="32"/>
        <v/>
      </c>
      <c r="I1036" s="30" t="str">
        <f t="shared" si="33"/>
        <v/>
      </c>
    </row>
    <row r="1037" spans="6:9" x14ac:dyDescent="0.2">
      <c r="F1037" s="4" t="str">
        <f>IF(LEN(TRIM(A1037))=0,"",COUNTIFS(Students!H:H, A1037))</f>
        <v/>
      </c>
      <c r="G1037" s="4" t="str">
        <f>IF(LEN(TRIM(A1037))=0,"",COUNTIFS(Students!H:H, A1037, Students!D:D, "&gt;=0"))</f>
        <v/>
      </c>
      <c r="H1037" s="4" t="str">
        <f t="shared" si="32"/>
        <v/>
      </c>
      <c r="I1037" s="30" t="str">
        <f t="shared" si="33"/>
        <v/>
      </c>
    </row>
    <row r="1038" spans="6:9" x14ac:dyDescent="0.2">
      <c r="F1038" s="4" t="str">
        <f>IF(LEN(TRIM(A1038))=0,"",COUNTIFS(Students!H:H, A1038))</f>
        <v/>
      </c>
      <c r="G1038" s="4" t="str">
        <f>IF(LEN(TRIM(A1038))=0,"",COUNTIFS(Students!H:H, A1038, Students!D:D, "&gt;=0"))</f>
        <v/>
      </c>
      <c r="H1038" s="4" t="str">
        <f t="shared" si="32"/>
        <v/>
      </c>
      <c r="I1038" s="30" t="str">
        <f t="shared" si="33"/>
        <v/>
      </c>
    </row>
    <row r="1039" spans="6:9" x14ac:dyDescent="0.2">
      <c r="F1039" s="4" t="str">
        <f>IF(LEN(TRIM(A1039))=0,"",COUNTIFS(Students!H:H, A1039))</f>
        <v/>
      </c>
      <c r="G1039" s="4" t="str">
        <f>IF(LEN(TRIM(A1039))=0,"",COUNTIFS(Students!H:H, A1039, Students!D:D, "&gt;=0"))</f>
        <v/>
      </c>
      <c r="H1039" s="4" t="str">
        <f t="shared" si="32"/>
        <v/>
      </c>
      <c r="I1039" s="30" t="str">
        <f t="shared" si="33"/>
        <v/>
      </c>
    </row>
    <row r="1040" spans="6:9" x14ac:dyDescent="0.2">
      <c r="F1040" s="4" t="str">
        <f>IF(LEN(TRIM(A1040))=0,"",COUNTIFS(Students!H:H, A1040))</f>
        <v/>
      </c>
      <c r="G1040" s="4" t="str">
        <f>IF(LEN(TRIM(A1040))=0,"",COUNTIFS(Students!H:H, A1040, Students!D:D, "&gt;=0"))</f>
        <v/>
      </c>
      <c r="H1040" s="4" t="str">
        <f t="shared" si="32"/>
        <v/>
      </c>
      <c r="I1040" s="30" t="str">
        <f t="shared" si="33"/>
        <v/>
      </c>
    </row>
    <row r="1041" spans="6:9" x14ac:dyDescent="0.2">
      <c r="F1041" s="4" t="str">
        <f>IF(LEN(TRIM(A1041))=0,"",COUNTIFS(Students!H:H, A1041))</f>
        <v/>
      </c>
      <c r="G1041" s="4" t="str">
        <f>IF(LEN(TRIM(A1041))=0,"",COUNTIFS(Students!H:H, A1041, Students!D:D, "&gt;=0"))</f>
        <v/>
      </c>
      <c r="H1041" s="4" t="str">
        <f t="shared" si="32"/>
        <v/>
      </c>
      <c r="I1041" s="30" t="str">
        <f t="shared" si="33"/>
        <v/>
      </c>
    </row>
    <row r="1042" spans="6:9" x14ac:dyDescent="0.2">
      <c r="F1042" s="4" t="str">
        <f>IF(LEN(TRIM(A1042))=0,"",COUNTIFS(Students!H:H, A1042))</f>
        <v/>
      </c>
      <c r="G1042" s="4" t="str">
        <f>IF(LEN(TRIM(A1042))=0,"",COUNTIFS(Students!H:H, A1042, Students!D:D, "&gt;=0"))</f>
        <v/>
      </c>
      <c r="H1042" s="4" t="str">
        <f t="shared" si="32"/>
        <v/>
      </c>
      <c r="I1042" s="30" t="str">
        <f t="shared" si="33"/>
        <v/>
      </c>
    </row>
    <row r="1043" spans="6:9" x14ac:dyDescent="0.2">
      <c r="F1043" s="4" t="str">
        <f>IF(LEN(TRIM(A1043))=0,"",COUNTIFS(Students!H:H, A1043))</f>
        <v/>
      </c>
      <c r="G1043" s="4" t="str">
        <f>IF(LEN(TRIM(A1043))=0,"",COUNTIFS(Students!H:H, A1043, Students!D:D, "&gt;=0"))</f>
        <v/>
      </c>
      <c r="H1043" s="4" t="str">
        <f t="shared" si="32"/>
        <v/>
      </c>
      <c r="I1043" s="30" t="str">
        <f t="shared" si="33"/>
        <v/>
      </c>
    </row>
    <row r="1044" spans="6:9" x14ac:dyDescent="0.2">
      <c r="F1044" s="4" t="str">
        <f>IF(LEN(TRIM(A1044))=0,"",COUNTIFS(Students!H:H, A1044))</f>
        <v/>
      </c>
      <c r="G1044" s="4" t="str">
        <f>IF(LEN(TRIM(A1044))=0,"",COUNTIFS(Students!H:H, A1044, Students!D:D, "&gt;=0"))</f>
        <v/>
      </c>
      <c r="H1044" s="4" t="str">
        <f t="shared" si="32"/>
        <v/>
      </c>
      <c r="I1044" s="30" t="str">
        <f t="shared" si="33"/>
        <v/>
      </c>
    </row>
    <row r="1045" spans="6:9" x14ac:dyDescent="0.2">
      <c r="F1045" s="4" t="str">
        <f>IF(LEN(TRIM(A1045))=0,"",COUNTIFS(Students!H:H, A1045))</f>
        <v/>
      </c>
      <c r="G1045" s="4" t="str">
        <f>IF(LEN(TRIM(A1045))=0,"",COUNTIFS(Students!H:H, A1045, Students!D:D, "&gt;=0"))</f>
        <v/>
      </c>
      <c r="H1045" s="4" t="str">
        <f t="shared" si="32"/>
        <v/>
      </c>
      <c r="I1045" s="30" t="str">
        <f t="shared" si="33"/>
        <v/>
      </c>
    </row>
    <row r="1046" spans="6:9" x14ac:dyDescent="0.2">
      <c r="F1046" s="4" t="str">
        <f>IF(LEN(TRIM(A1046))=0,"",COUNTIFS(Students!H:H, A1046))</f>
        <v/>
      </c>
      <c r="G1046" s="4" t="str">
        <f>IF(LEN(TRIM(A1046))=0,"",COUNTIFS(Students!H:H, A1046, Students!D:D, "&gt;=0"))</f>
        <v/>
      </c>
      <c r="H1046" s="4" t="str">
        <f t="shared" si="32"/>
        <v/>
      </c>
      <c r="I1046" s="30" t="str">
        <f t="shared" si="33"/>
        <v/>
      </c>
    </row>
    <row r="1047" spans="6:9" x14ac:dyDescent="0.2">
      <c r="F1047" s="4" t="str">
        <f>IF(LEN(TRIM(A1047))=0,"",COUNTIFS(Students!H:H, A1047))</f>
        <v/>
      </c>
      <c r="G1047" s="4" t="str">
        <f>IF(LEN(TRIM(A1047))=0,"",COUNTIFS(Students!H:H, A1047, Students!D:D, "&gt;=0"))</f>
        <v/>
      </c>
      <c r="H1047" s="4" t="str">
        <f t="shared" si="32"/>
        <v/>
      </c>
      <c r="I1047" s="30" t="str">
        <f t="shared" si="33"/>
        <v/>
      </c>
    </row>
    <row r="1048" spans="6:9" x14ac:dyDescent="0.2">
      <c r="F1048" s="4" t="str">
        <f>IF(LEN(TRIM(A1048))=0,"",COUNTIFS(Students!H:H, A1048))</f>
        <v/>
      </c>
      <c r="G1048" s="4" t="str">
        <f>IF(LEN(TRIM(A1048))=0,"",COUNTIFS(Students!H:H, A1048, Students!D:D, "&gt;=0"))</f>
        <v/>
      </c>
      <c r="H1048" s="4" t="str">
        <f t="shared" si="32"/>
        <v/>
      </c>
      <c r="I1048" s="30" t="str">
        <f t="shared" si="33"/>
        <v/>
      </c>
    </row>
    <row r="1049" spans="6:9" x14ac:dyDescent="0.2">
      <c r="F1049" s="4" t="str">
        <f>IF(LEN(TRIM(A1049))=0,"",COUNTIFS(Students!H:H, A1049))</f>
        <v/>
      </c>
      <c r="G1049" s="4" t="str">
        <f>IF(LEN(TRIM(A1049))=0,"",COUNTIFS(Students!H:H, A1049, Students!D:D, "&gt;=0"))</f>
        <v/>
      </c>
      <c r="H1049" s="4" t="str">
        <f t="shared" si="32"/>
        <v/>
      </c>
      <c r="I1049" s="30" t="str">
        <f t="shared" si="33"/>
        <v/>
      </c>
    </row>
    <row r="1050" spans="6:9" x14ac:dyDescent="0.2">
      <c r="F1050" s="4" t="str">
        <f>IF(LEN(TRIM(A1050))=0,"",COUNTIFS(Students!H:H, A1050))</f>
        <v/>
      </c>
      <c r="G1050" s="4" t="str">
        <f>IF(LEN(TRIM(A1050))=0,"",COUNTIFS(Students!H:H, A1050, Students!D:D, "&gt;=0"))</f>
        <v/>
      </c>
      <c r="H1050" s="4" t="str">
        <f t="shared" si="32"/>
        <v/>
      </c>
      <c r="I1050" s="30" t="str">
        <f t="shared" si="33"/>
        <v/>
      </c>
    </row>
    <row r="1051" spans="6:9" x14ac:dyDescent="0.2">
      <c r="F1051" s="4" t="str">
        <f>IF(LEN(TRIM(A1051))=0,"",COUNTIFS(Students!H:H, A1051))</f>
        <v/>
      </c>
      <c r="G1051" s="4" t="str">
        <f>IF(LEN(TRIM(A1051))=0,"",COUNTIFS(Students!H:H, A1051, Students!D:D, "&gt;=0"))</f>
        <v/>
      </c>
      <c r="H1051" s="4" t="str">
        <f t="shared" si="32"/>
        <v/>
      </c>
      <c r="I1051" s="30" t="str">
        <f t="shared" si="33"/>
        <v/>
      </c>
    </row>
    <row r="1052" spans="6:9" x14ac:dyDescent="0.2">
      <c r="F1052" s="4" t="str">
        <f>IF(LEN(TRIM(A1052))=0,"",COUNTIFS(Students!H:H, A1052))</f>
        <v/>
      </c>
      <c r="G1052" s="4" t="str">
        <f>IF(LEN(TRIM(A1052))=0,"",COUNTIFS(Students!H:H, A1052, Students!D:D, "&gt;=0"))</f>
        <v/>
      </c>
      <c r="H1052" s="4" t="str">
        <f t="shared" si="32"/>
        <v/>
      </c>
      <c r="I1052" s="30" t="str">
        <f t="shared" si="33"/>
        <v/>
      </c>
    </row>
    <row r="1053" spans="6:9" x14ac:dyDescent="0.2">
      <c r="F1053" s="4" t="str">
        <f>IF(LEN(TRIM(A1053))=0,"",COUNTIFS(Students!H:H, A1053))</f>
        <v/>
      </c>
      <c r="G1053" s="4" t="str">
        <f>IF(LEN(TRIM(A1053))=0,"",COUNTIFS(Students!H:H, A1053, Students!D:D, "&gt;=0"))</f>
        <v/>
      </c>
      <c r="H1053" s="4" t="str">
        <f t="shared" si="32"/>
        <v/>
      </c>
      <c r="I1053" s="30" t="str">
        <f t="shared" si="33"/>
        <v/>
      </c>
    </row>
    <row r="1054" spans="6:9" x14ac:dyDescent="0.2">
      <c r="F1054" s="4" t="str">
        <f>IF(LEN(TRIM(A1054))=0,"",COUNTIFS(Students!H:H, A1054))</f>
        <v/>
      </c>
      <c r="G1054" s="4" t="str">
        <f>IF(LEN(TRIM(A1054))=0,"",COUNTIFS(Students!H:H, A1054, Students!D:D, "&gt;=0"))</f>
        <v/>
      </c>
      <c r="H1054" s="4" t="str">
        <f t="shared" si="32"/>
        <v/>
      </c>
      <c r="I1054" s="30" t="str">
        <f t="shared" si="33"/>
        <v/>
      </c>
    </row>
    <row r="1055" spans="6:9" x14ac:dyDescent="0.2">
      <c r="F1055" s="4" t="str">
        <f>IF(LEN(TRIM(A1055))=0,"",COUNTIFS(Students!H:H, A1055))</f>
        <v/>
      </c>
      <c r="G1055" s="4" t="str">
        <f>IF(LEN(TRIM(A1055))=0,"",COUNTIFS(Students!H:H, A1055, Students!D:D, "&gt;=0"))</f>
        <v/>
      </c>
      <c r="H1055" s="4" t="str">
        <f t="shared" si="32"/>
        <v/>
      </c>
      <c r="I1055" s="30" t="str">
        <f t="shared" si="33"/>
        <v/>
      </c>
    </row>
    <row r="1056" spans="6:9" x14ac:dyDescent="0.2">
      <c r="F1056" s="4" t="str">
        <f>IF(LEN(TRIM(A1056))=0,"",COUNTIFS(Students!H:H, A1056))</f>
        <v/>
      </c>
      <c r="G1056" s="4" t="str">
        <f>IF(LEN(TRIM(A1056))=0,"",COUNTIFS(Students!H:H, A1056, Students!D:D, "&gt;=0"))</f>
        <v/>
      </c>
      <c r="H1056" s="4" t="str">
        <f t="shared" si="32"/>
        <v/>
      </c>
      <c r="I1056" s="30" t="str">
        <f t="shared" si="33"/>
        <v/>
      </c>
    </row>
    <row r="1057" spans="6:9" x14ac:dyDescent="0.2">
      <c r="F1057" s="4" t="str">
        <f>IF(LEN(TRIM(A1057))=0,"",COUNTIFS(Students!H:H, A1057))</f>
        <v/>
      </c>
      <c r="G1057" s="4" t="str">
        <f>IF(LEN(TRIM(A1057))=0,"",COUNTIFS(Students!H:H, A1057, Students!D:D, "&gt;=0"))</f>
        <v/>
      </c>
      <c r="H1057" s="4" t="str">
        <f t="shared" si="32"/>
        <v/>
      </c>
      <c r="I1057" s="30" t="str">
        <f t="shared" si="33"/>
        <v/>
      </c>
    </row>
    <row r="1058" spans="6:9" x14ac:dyDescent="0.2">
      <c r="F1058" s="4" t="str">
        <f>IF(LEN(TRIM(A1058))=0,"",COUNTIFS(Students!H:H, A1058))</f>
        <v/>
      </c>
      <c r="G1058" s="4" t="str">
        <f>IF(LEN(TRIM(A1058))=0,"",COUNTIFS(Students!H:H, A1058, Students!D:D, "&gt;=0"))</f>
        <v/>
      </c>
      <c r="H1058" s="4" t="str">
        <f t="shared" si="32"/>
        <v/>
      </c>
      <c r="I1058" s="30" t="str">
        <f t="shared" si="33"/>
        <v/>
      </c>
    </row>
    <row r="1059" spans="6:9" x14ac:dyDescent="0.2">
      <c r="F1059" s="4" t="str">
        <f>IF(LEN(TRIM(A1059))=0,"",COUNTIFS(Students!H:H, A1059))</f>
        <v/>
      </c>
      <c r="G1059" s="4" t="str">
        <f>IF(LEN(TRIM(A1059))=0,"",COUNTIFS(Students!H:H, A1059, Students!D:D, "&gt;=0"))</f>
        <v/>
      </c>
      <c r="H1059" s="4" t="str">
        <f t="shared" si="32"/>
        <v/>
      </c>
      <c r="I1059" s="30" t="str">
        <f t="shared" si="33"/>
        <v/>
      </c>
    </row>
    <row r="1060" spans="6:9" x14ac:dyDescent="0.2">
      <c r="F1060" s="4" t="str">
        <f>IF(LEN(TRIM(A1060))=0,"",COUNTIFS(Students!H:H, A1060))</f>
        <v/>
      </c>
      <c r="G1060" s="4" t="str">
        <f>IF(LEN(TRIM(A1060))=0,"",COUNTIFS(Students!H:H, A1060, Students!D:D, "&gt;=0"))</f>
        <v/>
      </c>
      <c r="H1060" s="4" t="str">
        <f t="shared" si="32"/>
        <v/>
      </c>
      <c r="I1060" s="30" t="str">
        <f t="shared" si="33"/>
        <v/>
      </c>
    </row>
    <row r="1061" spans="6:9" x14ac:dyDescent="0.2">
      <c r="F1061" s="4" t="str">
        <f>IF(LEN(TRIM(A1061))=0,"",COUNTIFS(Students!H:H, A1061))</f>
        <v/>
      </c>
      <c r="G1061" s="4" t="str">
        <f>IF(LEN(TRIM(A1061))=0,"",COUNTIFS(Students!H:H, A1061, Students!D:D, "&gt;=0"))</f>
        <v/>
      </c>
      <c r="H1061" s="4" t="str">
        <f t="shared" si="32"/>
        <v/>
      </c>
      <c r="I1061" s="30" t="str">
        <f t="shared" si="33"/>
        <v/>
      </c>
    </row>
    <row r="1062" spans="6:9" x14ac:dyDescent="0.2">
      <c r="F1062" s="4" t="str">
        <f>IF(LEN(TRIM(A1062))=0,"",COUNTIFS(Students!H:H, A1062))</f>
        <v/>
      </c>
      <c r="G1062" s="4" t="str">
        <f>IF(LEN(TRIM(A1062))=0,"",COUNTIFS(Students!H:H, A1062, Students!D:D, "&gt;=0"))</f>
        <v/>
      </c>
      <c r="H1062" s="4" t="str">
        <f t="shared" si="32"/>
        <v/>
      </c>
      <c r="I1062" s="30" t="str">
        <f t="shared" si="33"/>
        <v/>
      </c>
    </row>
    <row r="1063" spans="6:9" x14ac:dyDescent="0.2">
      <c r="F1063" s="4" t="str">
        <f>IF(LEN(TRIM(A1063))=0,"",COUNTIFS(Students!H:H, A1063))</f>
        <v/>
      </c>
      <c r="G1063" s="4" t="str">
        <f>IF(LEN(TRIM(A1063))=0,"",COUNTIFS(Students!H:H, A1063, Students!D:D, "&gt;=0"))</f>
        <v/>
      </c>
      <c r="H1063" s="4" t="str">
        <f t="shared" si="32"/>
        <v/>
      </c>
      <c r="I1063" s="30" t="str">
        <f t="shared" si="33"/>
        <v/>
      </c>
    </row>
    <row r="1064" spans="6:9" x14ac:dyDescent="0.2">
      <c r="F1064" s="4" t="str">
        <f>IF(LEN(TRIM(A1064))=0,"",COUNTIFS(Students!H:H, A1064))</f>
        <v/>
      </c>
      <c r="G1064" s="4" t="str">
        <f>IF(LEN(TRIM(A1064))=0,"",COUNTIFS(Students!H:H, A1064, Students!D:D, "&gt;=0"))</f>
        <v/>
      </c>
      <c r="H1064" s="4" t="str">
        <f t="shared" si="32"/>
        <v/>
      </c>
      <c r="I1064" s="30" t="str">
        <f t="shared" si="33"/>
        <v/>
      </c>
    </row>
    <row r="1065" spans="6:9" x14ac:dyDescent="0.2">
      <c r="F1065" s="4" t="str">
        <f>IF(LEN(TRIM(A1065))=0,"",COUNTIFS(Students!H:H, A1065))</f>
        <v/>
      </c>
      <c r="G1065" s="4" t="str">
        <f>IF(LEN(TRIM(A1065))=0,"",COUNTIFS(Students!H:H, A1065, Students!D:D, "&gt;=0"))</f>
        <v/>
      </c>
      <c r="H1065" s="4" t="str">
        <f t="shared" si="32"/>
        <v/>
      </c>
      <c r="I1065" s="30" t="str">
        <f t="shared" si="33"/>
        <v/>
      </c>
    </row>
    <row r="1066" spans="6:9" x14ac:dyDescent="0.2">
      <c r="F1066" s="4" t="str">
        <f>IF(LEN(TRIM(A1066))=0,"",COUNTIFS(Students!H:H, A1066))</f>
        <v/>
      </c>
      <c r="G1066" s="4" t="str">
        <f>IF(LEN(TRIM(A1066))=0,"",COUNTIFS(Students!H:H, A1066, Students!D:D, "&gt;=0"))</f>
        <v/>
      </c>
      <c r="H1066" s="4" t="str">
        <f t="shared" si="32"/>
        <v/>
      </c>
      <c r="I1066" s="30" t="str">
        <f t="shared" si="33"/>
        <v/>
      </c>
    </row>
    <row r="1067" spans="6:9" x14ac:dyDescent="0.2">
      <c r="F1067" s="4" t="str">
        <f>IF(LEN(TRIM(A1067))=0,"",COUNTIFS(Students!H:H, A1067))</f>
        <v/>
      </c>
      <c r="G1067" s="4" t="str">
        <f>IF(LEN(TRIM(A1067))=0,"",COUNTIFS(Students!H:H, A1067, Students!D:D, "&gt;=0"))</f>
        <v/>
      </c>
      <c r="H1067" s="4" t="str">
        <f t="shared" si="32"/>
        <v/>
      </c>
      <c r="I1067" s="30" t="str">
        <f t="shared" si="33"/>
        <v/>
      </c>
    </row>
    <row r="1068" spans="6:9" x14ac:dyDescent="0.2">
      <c r="F1068" s="4" t="str">
        <f>IF(LEN(TRIM(A1068))=0,"",COUNTIFS(Students!H:H, A1068))</f>
        <v/>
      </c>
      <c r="G1068" s="4" t="str">
        <f>IF(LEN(TRIM(A1068))=0,"",COUNTIFS(Students!H:H, A1068, Students!D:D, "&gt;=0"))</f>
        <v/>
      </c>
      <c r="H1068" s="4" t="str">
        <f t="shared" si="32"/>
        <v/>
      </c>
      <c r="I1068" s="30" t="str">
        <f t="shared" si="33"/>
        <v/>
      </c>
    </row>
    <row r="1069" spans="6:9" x14ac:dyDescent="0.2">
      <c r="F1069" s="4" t="str">
        <f>IF(LEN(TRIM(A1069))=0,"",COUNTIFS(Students!H:H, A1069))</f>
        <v/>
      </c>
      <c r="G1069" s="4" t="str">
        <f>IF(LEN(TRIM(A1069))=0,"",COUNTIFS(Students!H:H, A1069, Students!D:D, "&gt;=0"))</f>
        <v/>
      </c>
      <c r="H1069" s="4" t="str">
        <f t="shared" si="32"/>
        <v/>
      </c>
      <c r="I1069" s="30" t="str">
        <f t="shared" si="33"/>
        <v/>
      </c>
    </row>
    <row r="1070" spans="6:9" x14ac:dyDescent="0.2">
      <c r="F1070" s="4" t="str">
        <f>IF(LEN(TRIM(A1070))=0,"",COUNTIFS(Students!H:H, A1070))</f>
        <v/>
      </c>
      <c r="G1070" s="4" t="str">
        <f>IF(LEN(TRIM(A1070))=0,"",COUNTIFS(Students!H:H, A1070, Students!D:D, "&gt;=0"))</f>
        <v/>
      </c>
      <c r="H1070" s="4" t="str">
        <f t="shared" si="32"/>
        <v/>
      </c>
      <c r="I1070" s="30" t="str">
        <f t="shared" si="33"/>
        <v/>
      </c>
    </row>
    <row r="1071" spans="6:9" x14ac:dyDescent="0.2">
      <c r="F1071" s="4" t="str">
        <f>IF(LEN(TRIM(A1071))=0,"",COUNTIFS(Students!H:H, A1071))</f>
        <v/>
      </c>
      <c r="G1071" s="4" t="str">
        <f>IF(LEN(TRIM(A1071))=0,"",COUNTIFS(Students!H:H, A1071, Students!D:D, "&gt;=0"))</f>
        <v/>
      </c>
      <c r="H1071" s="4" t="str">
        <f t="shared" si="32"/>
        <v/>
      </c>
      <c r="I1071" s="30" t="str">
        <f t="shared" si="33"/>
        <v/>
      </c>
    </row>
    <row r="1072" spans="6:9" x14ac:dyDescent="0.2">
      <c r="F1072" s="4" t="str">
        <f>IF(LEN(TRIM(A1072))=0,"",COUNTIFS(Students!H:H, A1072))</f>
        <v/>
      </c>
      <c r="G1072" s="4" t="str">
        <f>IF(LEN(TRIM(A1072))=0,"",COUNTIFS(Students!H:H, A1072, Students!D:D, "&gt;=0"))</f>
        <v/>
      </c>
      <c r="H1072" s="4" t="str">
        <f t="shared" si="32"/>
        <v/>
      </c>
      <c r="I1072" s="30" t="str">
        <f t="shared" si="33"/>
        <v/>
      </c>
    </row>
    <row r="1073" spans="6:9" x14ac:dyDescent="0.2">
      <c r="F1073" s="4" t="str">
        <f>IF(LEN(TRIM(A1073))=0,"",COUNTIFS(Students!H:H, A1073))</f>
        <v/>
      </c>
      <c r="G1073" s="4" t="str">
        <f>IF(LEN(TRIM(A1073))=0,"",COUNTIFS(Students!H:H, A1073, Students!D:D, "&gt;=0"))</f>
        <v/>
      </c>
      <c r="H1073" s="4" t="str">
        <f t="shared" si="32"/>
        <v/>
      </c>
      <c r="I1073" s="30" t="str">
        <f t="shared" si="33"/>
        <v/>
      </c>
    </row>
    <row r="1074" spans="6:9" x14ac:dyDescent="0.2">
      <c r="F1074" s="4" t="str">
        <f>IF(LEN(TRIM(A1074))=0,"",COUNTIFS(Students!H:H, A1074))</f>
        <v/>
      </c>
      <c r="G1074" s="4" t="str">
        <f>IF(LEN(TRIM(A1074))=0,"",COUNTIFS(Students!H:H, A1074, Students!D:D, "&gt;=0"))</f>
        <v/>
      </c>
      <c r="H1074" s="4" t="str">
        <f t="shared" si="32"/>
        <v/>
      </c>
      <c r="I1074" s="30" t="str">
        <f t="shared" si="33"/>
        <v/>
      </c>
    </row>
    <row r="1075" spans="6:9" x14ac:dyDescent="0.2">
      <c r="F1075" s="4" t="str">
        <f>IF(LEN(TRIM(A1075))=0,"",COUNTIFS(Students!H:H, A1075))</f>
        <v/>
      </c>
      <c r="G1075" s="4" t="str">
        <f>IF(LEN(TRIM(A1075))=0,"",COUNTIFS(Students!H:H, A1075, Students!D:D, "&gt;=0"))</f>
        <v/>
      </c>
      <c r="H1075" s="4" t="str">
        <f t="shared" si="32"/>
        <v/>
      </c>
      <c r="I1075" s="30" t="str">
        <f t="shared" si="33"/>
        <v/>
      </c>
    </row>
    <row r="1076" spans="6:9" x14ac:dyDescent="0.2">
      <c r="F1076" s="4" t="str">
        <f>IF(LEN(TRIM(A1076))=0,"",COUNTIFS(Students!H:H, A1076))</f>
        <v/>
      </c>
      <c r="G1076" s="4" t="str">
        <f>IF(LEN(TRIM(A1076))=0,"",COUNTIFS(Students!H:H, A1076, Students!D:D, "&gt;=0"))</f>
        <v/>
      </c>
      <c r="H1076" s="4" t="str">
        <f t="shared" si="32"/>
        <v/>
      </c>
      <c r="I1076" s="30" t="str">
        <f t="shared" si="33"/>
        <v/>
      </c>
    </row>
    <row r="1077" spans="6:9" x14ac:dyDescent="0.2">
      <c r="F1077" s="4" t="str">
        <f>IF(LEN(TRIM(A1077))=0,"",COUNTIFS(Students!H:H, A1077))</f>
        <v/>
      </c>
      <c r="G1077" s="4" t="str">
        <f>IF(LEN(TRIM(A1077))=0,"",COUNTIFS(Students!H:H, A1077, Students!D:D, "&gt;=0"))</f>
        <v/>
      </c>
      <c r="H1077" s="4" t="str">
        <f t="shared" si="32"/>
        <v/>
      </c>
      <c r="I1077" s="30" t="str">
        <f t="shared" si="33"/>
        <v/>
      </c>
    </row>
    <row r="1078" spans="6:9" x14ac:dyDescent="0.2">
      <c r="F1078" s="4" t="str">
        <f>IF(LEN(TRIM(A1078))=0,"",COUNTIFS(Students!H:H, A1078))</f>
        <v/>
      </c>
      <c r="G1078" s="4" t="str">
        <f>IF(LEN(TRIM(A1078))=0,"",COUNTIFS(Students!H:H, A1078, Students!D:D, "&gt;=0"))</f>
        <v/>
      </c>
      <c r="H1078" s="4" t="str">
        <f t="shared" si="32"/>
        <v/>
      </c>
      <c r="I1078" s="30" t="str">
        <f t="shared" si="33"/>
        <v/>
      </c>
    </row>
    <row r="1079" spans="6:9" x14ac:dyDescent="0.2">
      <c r="F1079" s="4" t="str">
        <f>IF(LEN(TRIM(A1079))=0,"",COUNTIFS(Students!H:H, A1079))</f>
        <v/>
      </c>
      <c r="G1079" s="4" t="str">
        <f>IF(LEN(TRIM(A1079))=0,"",COUNTIFS(Students!H:H, A1079, Students!D:D, "&gt;=0"))</f>
        <v/>
      </c>
      <c r="H1079" s="4" t="str">
        <f t="shared" si="32"/>
        <v/>
      </c>
      <c r="I1079" s="30" t="str">
        <f t="shared" si="33"/>
        <v/>
      </c>
    </row>
    <row r="1080" spans="6:9" x14ac:dyDescent="0.2">
      <c r="F1080" s="4" t="str">
        <f>IF(LEN(TRIM(A1080))=0,"",COUNTIFS(Students!H:H, A1080))</f>
        <v/>
      </c>
      <c r="G1080" s="4" t="str">
        <f>IF(LEN(TRIM(A1080))=0,"",COUNTIFS(Students!H:H, A1080, Students!D:D, "&gt;=0"))</f>
        <v/>
      </c>
      <c r="H1080" s="4" t="str">
        <f t="shared" si="32"/>
        <v/>
      </c>
      <c r="I1080" s="30" t="str">
        <f t="shared" si="33"/>
        <v/>
      </c>
    </row>
    <row r="1081" spans="6:9" x14ac:dyDescent="0.2">
      <c r="F1081" s="4" t="str">
        <f>IF(LEN(TRIM(A1081))=0,"",COUNTIFS(Students!H:H, A1081))</f>
        <v/>
      </c>
      <c r="G1081" s="4" t="str">
        <f>IF(LEN(TRIM(A1081))=0,"",COUNTIFS(Students!H:H, A1081, Students!D:D, "&gt;=0"))</f>
        <v/>
      </c>
      <c r="H1081" s="4" t="str">
        <f t="shared" si="32"/>
        <v/>
      </c>
      <c r="I1081" s="30" t="str">
        <f t="shared" si="33"/>
        <v/>
      </c>
    </row>
    <row r="1082" spans="6:9" x14ac:dyDescent="0.2">
      <c r="F1082" s="4" t="str">
        <f>IF(LEN(TRIM(A1082))=0,"",COUNTIFS(Students!H:H, A1082))</f>
        <v/>
      </c>
      <c r="G1082" s="4" t="str">
        <f>IF(LEN(TRIM(A1082))=0,"",COUNTIFS(Students!H:H, A1082, Students!D:D, "&gt;=0"))</f>
        <v/>
      </c>
      <c r="H1082" s="4" t="str">
        <f t="shared" si="32"/>
        <v/>
      </c>
      <c r="I1082" s="30" t="str">
        <f t="shared" si="33"/>
        <v/>
      </c>
    </row>
    <row r="1083" spans="6:9" x14ac:dyDescent="0.2">
      <c r="F1083" s="4" t="str">
        <f>IF(LEN(TRIM(A1083))=0,"",COUNTIFS(Students!H:H, A1083))</f>
        <v/>
      </c>
      <c r="G1083" s="4" t="str">
        <f>IF(LEN(TRIM(A1083))=0,"",COUNTIFS(Students!H:H, A1083, Students!D:D, "&gt;=0"))</f>
        <v/>
      </c>
      <c r="H1083" s="4" t="str">
        <f t="shared" si="32"/>
        <v/>
      </c>
      <c r="I1083" s="30" t="str">
        <f t="shared" si="33"/>
        <v/>
      </c>
    </row>
    <row r="1084" spans="6:9" x14ac:dyDescent="0.2">
      <c r="F1084" s="4" t="str">
        <f>IF(LEN(TRIM(A1084))=0,"",COUNTIFS(Students!H:H, A1084))</f>
        <v/>
      </c>
      <c r="G1084" s="4" t="str">
        <f>IF(LEN(TRIM(A1084))=0,"",COUNTIFS(Students!H:H, A1084, Students!D:D, "&gt;=0"))</f>
        <v/>
      </c>
      <c r="H1084" s="4" t="str">
        <f t="shared" si="32"/>
        <v/>
      </c>
      <c r="I1084" s="30" t="str">
        <f t="shared" si="33"/>
        <v/>
      </c>
    </row>
    <row r="1085" spans="6:9" x14ac:dyDescent="0.2">
      <c r="F1085" s="4" t="str">
        <f>IF(LEN(TRIM(A1085))=0,"",COUNTIFS(Students!H:H, A1085))</f>
        <v/>
      </c>
      <c r="G1085" s="4" t="str">
        <f>IF(LEN(TRIM(A1085))=0,"",COUNTIFS(Students!H:H, A1085, Students!D:D, "&gt;=0"))</f>
        <v/>
      </c>
      <c r="H1085" s="4" t="str">
        <f t="shared" si="32"/>
        <v/>
      </c>
      <c r="I1085" s="30" t="str">
        <f t="shared" si="33"/>
        <v/>
      </c>
    </row>
    <row r="1086" spans="6:9" x14ac:dyDescent="0.2">
      <c r="F1086" s="4" t="str">
        <f>IF(LEN(TRIM(A1086))=0,"",COUNTIFS(Students!H:H, A1086))</f>
        <v/>
      </c>
      <c r="G1086" s="4" t="str">
        <f>IF(LEN(TRIM(A1086))=0,"",COUNTIFS(Students!H:H, A1086, Students!D:D, "&gt;=0"))</f>
        <v/>
      </c>
      <c r="H1086" s="4" t="str">
        <f t="shared" si="32"/>
        <v/>
      </c>
      <c r="I1086" s="30" t="str">
        <f t="shared" si="33"/>
        <v/>
      </c>
    </row>
    <row r="1087" spans="6:9" x14ac:dyDescent="0.2">
      <c r="F1087" s="4" t="str">
        <f>IF(LEN(TRIM(A1087))=0,"",COUNTIFS(Students!H:H, A1087))</f>
        <v/>
      </c>
      <c r="G1087" s="4" t="str">
        <f>IF(LEN(TRIM(A1087))=0,"",COUNTIFS(Students!H:H, A1087, Students!D:D, "&gt;=0"))</f>
        <v/>
      </c>
      <c r="H1087" s="4" t="str">
        <f t="shared" si="32"/>
        <v/>
      </c>
      <c r="I1087" s="30" t="str">
        <f t="shared" si="33"/>
        <v/>
      </c>
    </row>
    <row r="1088" spans="6:9" x14ac:dyDescent="0.2">
      <c r="F1088" s="4" t="str">
        <f>IF(LEN(TRIM(A1088))=0,"",COUNTIFS(Students!H:H, A1088))</f>
        <v/>
      </c>
      <c r="G1088" s="4" t="str">
        <f>IF(LEN(TRIM(A1088))=0,"",COUNTIFS(Students!H:H, A1088, Students!D:D, "&gt;=0"))</f>
        <v/>
      </c>
      <c r="H1088" s="4" t="str">
        <f t="shared" si="32"/>
        <v/>
      </c>
      <c r="I1088" s="30" t="str">
        <f t="shared" si="33"/>
        <v/>
      </c>
    </row>
    <row r="1089" spans="6:9" x14ac:dyDescent="0.2">
      <c r="F1089" s="4" t="str">
        <f>IF(LEN(TRIM(A1089))=0,"",COUNTIFS(Students!H:H, A1089))</f>
        <v/>
      </c>
      <c r="G1089" s="4" t="str">
        <f>IF(LEN(TRIM(A1089))=0,"",COUNTIFS(Students!H:H, A1089, Students!D:D, "&gt;=0"))</f>
        <v/>
      </c>
      <c r="H1089" s="4" t="str">
        <f t="shared" si="32"/>
        <v/>
      </c>
      <c r="I1089" s="30" t="str">
        <f t="shared" si="33"/>
        <v/>
      </c>
    </row>
    <row r="1090" spans="6:9" x14ac:dyDescent="0.2">
      <c r="F1090" s="4" t="str">
        <f>IF(LEN(TRIM(A1090))=0,"",COUNTIFS(Students!H:H, A1090))</f>
        <v/>
      </c>
      <c r="G1090" s="4" t="str">
        <f>IF(LEN(TRIM(A1090))=0,"",COUNTIFS(Students!H:H, A1090, Students!D:D, "&gt;=0"))</f>
        <v/>
      </c>
      <c r="H1090" s="4" t="str">
        <f t="shared" si="32"/>
        <v/>
      </c>
      <c r="I1090" s="30" t="str">
        <f t="shared" si="33"/>
        <v/>
      </c>
    </row>
    <row r="1091" spans="6:9" x14ac:dyDescent="0.2">
      <c r="F1091" s="4" t="str">
        <f>IF(LEN(TRIM(A1091))=0,"",COUNTIFS(Students!H:H, A1091))</f>
        <v/>
      </c>
      <c r="G1091" s="4" t="str">
        <f>IF(LEN(TRIM(A1091))=0,"",COUNTIFS(Students!H:H, A1091, Students!D:D, "&gt;=0"))</f>
        <v/>
      </c>
      <c r="H1091" s="4" t="str">
        <f t="shared" ref="H1091:H1113" si="34">IFERROR(F1091-G1091,"")</f>
        <v/>
      </c>
      <c r="I1091" s="30" t="str">
        <f t="shared" ref="I1091:I1113" si="35">IFERROR(IF(F1091=0, "N/A", G1091/F1091),"")</f>
        <v/>
      </c>
    </row>
    <row r="1092" spans="6:9" x14ac:dyDescent="0.2">
      <c r="F1092" s="4" t="str">
        <f>IF(LEN(TRIM(A1092))=0,"",COUNTIFS(Students!H:H, A1092))</f>
        <v/>
      </c>
      <c r="G1092" s="4" t="str">
        <f>IF(LEN(TRIM(A1092))=0,"",COUNTIFS(Students!H:H, A1092, Students!D:D, "&gt;=0"))</f>
        <v/>
      </c>
      <c r="H1092" s="4" t="str">
        <f t="shared" si="34"/>
        <v/>
      </c>
      <c r="I1092" s="30" t="str">
        <f t="shared" si="35"/>
        <v/>
      </c>
    </row>
    <row r="1093" spans="6:9" x14ac:dyDescent="0.2">
      <c r="F1093" s="4" t="str">
        <f>IF(LEN(TRIM(A1093))=0,"",COUNTIFS(Students!H:H, A1093))</f>
        <v/>
      </c>
      <c r="G1093" s="4" t="str">
        <f>IF(LEN(TRIM(A1093))=0,"",COUNTIFS(Students!H:H, A1093, Students!D:D, "&gt;=0"))</f>
        <v/>
      </c>
      <c r="H1093" s="4" t="str">
        <f t="shared" si="34"/>
        <v/>
      </c>
      <c r="I1093" s="30" t="str">
        <f t="shared" si="35"/>
        <v/>
      </c>
    </row>
    <row r="1094" spans="6:9" x14ac:dyDescent="0.2">
      <c r="F1094" s="4" t="str">
        <f>IF(LEN(TRIM(A1094))=0,"",COUNTIFS(Students!H:H, A1094))</f>
        <v/>
      </c>
      <c r="G1094" s="4" t="str">
        <f>IF(LEN(TRIM(A1094))=0,"",COUNTIFS(Students!H:H, A1094, Students!D:D, "&gt;=0"))</f>
        <v/>
      </c>
      <c r="H1094" s="4" t="str">
        <f t="shared" si="34"/>
        <v/>
      </c>
      <c r="I1094" s="30" t="str">
        <f t="shared" si="35"/>
        <v/>
      </c>
    </row>
    <row r="1095" spans="6:9" x14ac:dyDescent="0.2">
      <c r="F1095" s="4" t="str">
        <f>IF(LEN(TRIM(A1095))=0,"",COUNTIFS(Students!H:H, A1095))</f>
        <v/>
      </c>
      <c r="G1095" s="4" t="str">
        <f>IF(LEN(TRIM(A1095))=0,"",COUNTIFS(Students!H:H, A1095, Students!D:D, "&gt;=0"))</f>
        <v/>
      </c>
      <c r="H1095" s="4" t="str">
        <f t="shared" si="34"/>
        <v/>
      </c>
      <c r="I1095" s="30" t="str">
        <f t="shared" si="35"/>
        <v/>
      </c>
    </row>
    <row r="1096" spans="6:9" x14ac:dyDescent="0.2">
      <c r="F1096" s="4" t="str">
        <f>IF(LEN(TRIM(A1096))=0,"",COUNTIFS(Students!H:H, A1096))</f>
        <v/>
      </c>
      <c r="G1096" s="4" t="str">
        <f>IF(LEN(TRIM(A1096))=0,"",COUNTIFS(Students!H:H, A1096, Students!D:D, "&gt;=0"))</f>
        <v/>
      </c>
      <c r="H1096" s="4" t="str">
        <f t="shared" si="34"/>
        <v/>
      </c>
      <c r="I1096" s="30" t="str">
        <f t="shared" si="35"/>
        <v/>
      </c>
    </row>
    <row r="1097" spans="6:9" x14ac:dyDescent="0.2">
      <c r="F1097" s="4" t="str">
        <f>IF(LEN(TRIM(A1097))=0,"",COUNTIFS(Students!H:H, A1097))</f>
        <v/>
      </c>
      <c r="G1097" s="4" t="str">
        <f>IF(LEN(TRIM(A1097))=0,"",COUNTIFS(Students!H:H, A1097, Students!D:D, "&gt;=0"))</f>
        <v/>
      </c>
      <c r="H1097" s="4" t="str">
        <f t="shared" si="34"/>
        <v/>
      </c>
      <c r="I1097" s="30" t="str">
        <f t="shared" si="35"/>
        <v/>
      </c>
    </row>
    <row r="1098" spans="6:9" x14ac:dyDescent="0.2">
      <c r="F1098" s="4" t="str">
        <f>IF(LEN(TRIM(A1098))=0,"",COUNTIFS(Students!H:H, A1098))</f>
        <v/>
      </c>
      <c r="G1098" s="4" t="str">
        <f>IF(LEN(TRIM(A1098))=0,"",COUNTIFS(Students!H:H, A1098, Students!D:D, "&gt;=0"))</f>
        <v/>
      </c>
      <c r="H1098" s="4" t="str">
        <f t="shared" si="34"/>
        <v/>
      </c>
      <c r="I1098" s="30" t="str">
        <f t="shared" si="35"/>
        <v/>
      </c>
    </row>
    <row r="1099" spans="6:9" x14ac:dyDescent="0.2">
      <c r="F1099" s="4" t="str">
        <f>IF(LEN(TRIM(A1099))=0,"",COUNTIFS(Students!H:H, A1099))</f>
        <v/>
      </c>
      <c r="G1099" s="4" t="str">
        <f>IF(LEN(TRIM(A1099))=0,"",COUNTIFS(Students!H:H, A1099, Students!D:D, "&gt;=0"))</f>
        <v/>
      </c>
      <c r="H1099" s="4" t="str">
        <f t="shared" si="34"/>
        <v/>
      </c>
      <c r="I1099" s="30" t="str">
        <f t="shared" si="35"/>
        <v/>
      </c>
    </row>
    <row r="1100" spans="6:9" x14ac:dyDescent="0.2">
      <c r="F1100" s="4" t="str">
        <f>IF(LEN(TRIM(A1100))=0,"",COUNTIFS(Students!H:H, A1100))</f>
        <v/>
      </c>
      <c r="G1100" s="4" t="str">
        <f>IF(LEN(TRIM(A1100))=0,"",COUNTIFS(Students!H:H, A1100, Students!D:D, "&gt;=0"))</f>
        <v/>
      </c>
      <c r="H1100" s="4" t="str">
        <f t="shared" si="34"/>
        <v/>
      </c>
      <c r="I1100" s="30" t="str">
        <f t="shared" si="35"/>
        <v/>
      </c>
    </row>
    <row r="1101" spans="6:9" x14ac:dyDescent="0.2">
      <c r="F1101" s="4" t="str">
        <f>IF(LEN(TRIM(A1101))=0,"",COUNTIFS(Students!H:H, A1101))</f>
        <v/>
      </c>
      <c r="G1101" s="4" t="str">
        <f>IF(LEN(TRIM(A1101))=0,"",COUNTIFS(Students!H:H, A1101, Students!D:D, "&gt;=0"))</f>
        <v/>
      </c>
      <c r="H1101" s="4" t="str">
        <f t="shared" si="34"/>
        <v/>
      </c>
      <c r="I1101" s="30" t="str">
        <f t="shared" si="35"/>
        <v/>
      </c>
    </row>
    <row r="1102" spans="6:9" x14ac:dyDescent="0.2">
      <c r="F1102" s="4" t="str">
        <f>IF(LEN(TRIM(A1102))=0,"",COUNTIFS(Students!H:H, A1102))</f>
        <v/>
      </c>
      <c r="G1102" s="4" t="str">
        <f>IF(LEN(TRIM(A1102))=0,"",COUNTIFS(Students!H:H, A1102, Students!D:D, "&gt;=0"))</f>
        <v/>
      </c>
      <c r="H1102" s="4" t="str">
        <f t="shared" si="34"/>
        <v/>
      </c>
      <c r="I1102" s="30" t="str">
        <f t="shared" si="35"/>
        <v/>
      </c>
    </row>
    <row r="1103" spans="6:9" x14ac:dyDescent="0.2">
      <c r="F1103" s="4" t="str">
        <f>IF(LEN(TRIM(A1103))=0,"",COUNTIFS(Students!H:H, A1103))</f>
        <v/>
      </c>
      <c r="G1103" s="4" t="str">
        <f>IF(LEN(TRIM(A1103))=0,"",COUNTIFS(Students!H:H, A1103, Students!D:D, "&gt;=0"))</f>
        <v/>
      </c>
      <c r="H1103" s="4" t="str">
        <f t="shared" si="34"/>
        <v/>
      </c>
      <c r="I1103" s="30" t="str">
        <f t="shared" si="35"/>
        <v/>
      </c>
    </row>
    <row r="1104" spans="6:9" x14ac:dyDescent="0.2">
      <c r="F1104" s="4" t="str">
        <f>IF(LEN(TRIM(A1104))=0,"",COUNTIFS(Students!H:H, A1104))</f>
        <v/>
      </c>
      <c r="G1104" s="4" t="str">
        <f>IF(LEN(TRIM(A1104))=0,"",COUNTIFS(Students!H:H, A1104, Students!D:D, "&gt;=0"))</f>
        <v/>
      </c>
      <c r="H1104" s="4" t="str">
        <f t="shared" si="34"/>
        <v/>
      </c>
      <c r="I1104" s="30" t="str">
        <f t="shared" si="35"/>
        <v/>
      </c>
    </row>
    <row r="1105" spans="6:9" x14ac:dyDescent="0.2">
      <c r="F1105" s="4" t="str">
        <f>IF(LEN(TRIM(A1105))=0,"",COUNTIFS(Students!H:H, A1105))</f>
        <v/>
      </c>
      <c r="G1105" s="4" t="str">
        <f>IF(LEN(TRIM(A1105))=0,"",COUNTIFS(Students!H:H, A1105, Students!D:D, "&gt;=0"))</f>
        <v/>
      </c>
      <c r="H1105" s="4" t="str">
        <f t="shared" si="34"/>
        <v/>
      </c>
      <c r="I1105" s="30" t="str">
        <f t="shared" si="35"/>
        <v/>
      </c>
    </row>
    <row r="1106" spans="6:9" x14ac:dyDescent="0.2">
      <c r="F1106" s="4" t="str">
        <f>IF(LEN(TRIM(A1106))=0,"",COUNTIFS(Students!H:H, A1106))</f>
        <v/>
      </c>
      <c r="G1106" s="4" t="str">
        <f>IF(LEN(TRIM(A1106))=0,"",COUNTIFS(Students!H:H, A1106, Students!D:D, "&gt;=0"))</f>
        <v/>
      </c>
      <c r="H1106" s="4" t="str">
        <f t="shared" si="34"/>
        <v/>
      </c>
      <c r="I1106" s="30" t="str">
        <f t="shared" si="35"/>
        <v/>
      </c>
    </row>
    <row r="1107" spans="6:9" x14ac:dyDescent="0.2">
      <c r="F1107" s="4" t="str">
        <f>IF(LEN(TRIM(A1107))=0,"",COUNTIFS(Students!H:H, A1107))</f>
        <v/>
      </c>
      <c r="G1107" s="4" t="str">
        <f>IF(LEN(TRIM(A1107))=0,"",COUNTIFS(Students!H:H, A1107, Students!D:D, "&gt;=0"))</f>
        <v/>
      </c>
      <c r="H1107" s="4" t="str">
        <f t="shared" si="34"/>
        <v/>
      </c>
      <c r="I1107" s="30" t="str">
        <f t="shared" si="35"/>
        <v/>
      </c>
    </row>
    <row r="1108" spans="6:9" x14ac:dyDescent="0.2">
      <c r="F1108" s="4" t="str">
        <f>IF(LEN(TRIM(A1108))=0,"",COUNTIFS(Students!H:H, A1108))</f>
        <v/>
      </c>
      <c r="G1108" s="4" t="str">
        <f>IF(LEN(TRIM(A1108))=0,"",COUNTIFS(Students!H:H, A1108, Students!D:D, "&gt;=0"))</f>
        <v/>
      </c>
      <c r="H1108" s="4" t="str">
        <f t="shared" si="34"/>
        <v/>
      </c>
      <c r="I1108" s="30" t="str">
        <f t="shared" si="35"/>
        <v/>
      </c>
    </row>
    <row r="1109" spans="6:9" x14ac:dyDescent="0.2">
      <c r="F1109" s="4" t="str">
        <f>IF(LEN(TRIM(A1109))=0,"",COUNTIFS(Students!H:H, A1109))</f>
        <v/>
      </c>
      <c r="G1109" s="4" t="str">
        <f>IF(LEN(TRIM(A1109))=0,"",COUNTIFS(Students!H:H, A1109, Students!D:D, "&gt;=0"))</f>
        <v/>
      </c>
      <c r="H1109" s="4" t="str">
        <f t="shared" si="34"/>
        <v/>
      </c>
      <c r="I1109" s="30" t="str">
        <f t="shared" si="35"/>
        <v/>
      </c>
    </row>
    <row r="1110" spans="6:9" x14ac:dyDescent="0.2">
      <c r="F1110" s="4" t="str">
        <f>IF(LEN(TRIM(A1110))=0,"",COUNTIFS(Students!H:H, A1110))</f>
        <v/>
      </c>
      <c r="G1110" s="4" t="str">
        <f>IF(LEN(TRIM(A1110))=0,"",COUNTIFS(Students!H:H, A1110, Students!D:D, "&gt;=0"))</f>
        <v/>
      </c>
      <c r="H1110" s="4" t="str">
        <f t="shared" si="34"/>
        <v/>
      </c>
      <c r="I1110" s="30" t="str">
        <f t="shared" si="35"/>
        <v/>
      </c>
    </row>
    <row r="1111" spans="6:9" x14ac:dyDescent="0.2">
      <c r="F1111" s="4" t="str">
        <f>IF(LEN(TRIM(A1111))=0,"",COUNTIFS(Students!H:H, A1111))</f>
        <v/>
      </c>
      <c r="G1111" s="4" t="str">
        <f>IF(LEN(TRIM(A1111))=0,"",COUNTIFS(Students!H:H, A1111, Students!D:D, "&gt;=0"))</f>
        <v/>
      </c>
      <c r="H1111" s="4" t="str">
        <f t="shared" si="34"/>
        <v/>
      </c>
      <c r="I1111" s="30" t="str">
        <f t="shared" si="35"/>
        <v/>
      </c>
    </row>
    <row r="1112" spans="6:9" x14ac:dyDescent="0.2">
      <c r="F1112" s="4" t="str">
        <f>IF(LEN(TRIM(A1112))=0,"",COUNTIFS(Students!H:H, A1112))</f>
        <v/>
      </c>
      <c r="G1112" s="4" t="str">
        <f>IF(LEN(TRIM(A1112))=0,"",COUNTIFS(Students!H:H, A1112, Students!D:D, "&gt;=0"))</f>
        <v/>
      </c>
      <c r="H1112" s="4" t="str">
        <f t="shared" si="34"/>
        <v/>
      </c>
      <c r="I1112" s="30" t="str">
        <f t="shared" si="35"/>
        <v/>
      </c>
    </row>
    <row r="1113" spans="6:9" x14ac:dyDescent="0.2">
      <c r="F1113" s="4" t="str">
        <f>IF(LEN(TRIM(A1113))=0,"",COUNTIFS(Students!H:H, A1113))</f>
        <v/>
      </c>
      <c r="G1113" s="4" t="str">
        <f>IF(LEN(TRIM(A1113))=0,"",COUNTIFS(Students!H:H, A1113, Students!D:D, "&gt;=0"))</f>
        <v/>
      </c>
      <c r="H1113" s="4" t="str">
        <f t="shared" si="34"/>
        <v/>
      </c>
      <c r="I1113" s="30" t="str">
        <f t="shared" si="35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B8A-5A2D-41C4-9C28-AD3565397E36}">
  <sheetPr codeName="Sheet3"/>
  <dimension ref="A1:G899"/>
  <sheetViews>
    <sheetView workbookViewId="0">
      <selection activeCell="D3" sqref="D3"/>
    </sheetView>
  </sheetViews>
  <sheetFormatPr defaultRowHeight="14.25" x14ac:dyDescent="0.2"/>
  <cols>
    <col min="1" max="1" width="5.25" style="20" bestFit="1" customWidth="1"/>
    <col min="2" max="2" width="13.125" bestFit="1" customWidth="1"/>
    <col min="3" max="3" width="36.125" customWidth="1"/>
    <col min="4" max="4" width="10.75" style="5" bestFit="1" customWidth="1"/>
    <col min="5" max="5" width="10.625" style="5" bestFit="1" customWidth="1"/>
    <col min="6" max="6" width="8" style="5" bestFit="1" customWidth="1"/>
    <col min="7" max="7" width="9" style="21" bestFit="1" customWidth="1"/>
  </cols>
  <sheetData>
    <row r="1" spans="1:7" ht="15" x14ac:dyDescent="0.25">
      <c r="A1" s="25" t="s">
        <v>2</v>
      </c>
      <c r="B1" s="23" t="s">
        <v>4</v>
      </c>
      <c r="C1" s="23" t="s">
        <v>3</v>
      </c>
      <c r="D1" s="26" t="s">
        <v>18</v>
      </c>
      <c r="E1" s="26" t="s">
        <v>19</v>
      </c>
      <c r="F1" s="26" t="s">
        <v>20</v>
      </c>
      <c r="G1" s="27" t="s">
        <v>21</v>
      </c>
    </row>
    <row r="2" spans="1:7" x14ac:dyDescent="0.2">
      <c r="D2" s="31" t="str">
        <f>IF(LEN(TRIM(A2))=0,"",COUNTIFS(Students!E:E, A2))</f>
        <v/>
      </c>
      <c r="E2" s="31" t="str">
        <f>IF(LEN(TRIM(A2))=0,"",COUNTIFS(Students!E:E, A2, Students!D:D, "&gt;=0"))</f>
        <v/>
      </c>
      <c r="F2" s="31" t="str">
        <f>IFERROR(D2-E2,"")</f>
        <v/>
      </c>
      <c r="G2" s="6" t="str">
        <f>IFERROR(IF(D2=0, "N/A", E2/D2),"")</f>
        <v/>
      </c>
    </row>
    <row r="3" spans="1:7" x14ac:dyDescent="0.2">
      <c r="D3" s="31" t="str">
        <f>IF(LEN(TRIM(A3))=0,"",COUNTIFS(Students!E:E, A3))</f>
        <v/>
      </c>
      <c r="E3" s="31" t="str">
        <f>IF(LEN(TRIM(A3))=0,"",COUNTIFS(Students!E:E, A3, Students!D:D, "&gt;=0"))</f>
        <v/>
      </c>
      <c r="F3" s="31" t="str">
        <f t="shared" ref="F3:F66" si="0">IFERROR(D3-E3,"")</f>
        <v/>
      </c>
      <c r="G3" s="6" t="str">
        <f t="shared" ref="G3:G66" si="1">IFERROR(IF(D3=0, "N/A", E3/D3),"")</f>
        <v/>
      </c>
    </row>
    <row r="4" spans="1:7" x14ac:dyDescent="0.2">
      <c r="D4" s="31" t="str">
        <f>IF(LEN(TRIM(A4))=0,"",COUNTIFS(Students!E:E, A4))</f>
        <v/>
      </c>
      <c r="E4" s="31" t="str">
        <f>IF(LEN(TRIM(A4))=0,"",COUNTIFS(Students!E:E, A4, Students!D:D, "&gt;=0"))</f>
        <v/>
      </c>
      <c r="F4" s="31" t="str">
        <f t="shared" si="0"/>
        <v/>
      </c>
      <c r="G4" s="6" t="str">
        <f t="shared" si="1"/>
        <v/>
      </c>
    </row>
    <row r="5" spans="1:7" x14ac:dyDescent="0.2">
      <c r="D5" s="31" t="str">
        <f>IF(LEN(TRIM(A5))=0,"",COUNTIFS(Students!E:E, A5))</f>
        <v/>
      </c>
      <c r="E5" s="31" t="str">
        <f>IF(LEN(TRIM(A5))=0,"",COUNTIFS(Students!E:E, A5, Students!D:D, "&gt;=0"))</f>
        <v/>
      </c>
      <c r="F5" s="31" t="str">
        <f t="shared" si="0"/>
        <v/>
      </c>
      <c r="G5" s="6" t="str">
        <f t="shared" si="1"/>
        <v/>
      </c>
    </row>
    <row r="6" spans="1:7" x14ac:dyDescent="0.2">
      <c r="D6" s="31" t="str">
        <f>IF(LEN(TRIM(A6))=0,"",COUNTIFS(Students!E:E, A6))</f>
        <v/>
      </c>
      <c r="E6" s="31" t="str">
        <f>IF(LEN(TRIM(A6))=0,"",COUNTIFS(Students!E:E, A6, Students!D:D, "&gt;=0"))</f>
        <v/>
      </c>
      <c r="F6" s="31" t="str">
        <f t="shared" si="0"/>
        <v/>
      </c>
      <c r="G6" s="6" t="str">
        <f t="shared" si="1"/>
        <v/>
      </c>
    </row>
    <row r="7" spans="1:7" x14ac:dyDescent="0.2">
      <c r="D7" s="31" t="str">
        <f>IF(LEN(TRIM(A7))=0,"",COUNTIFS(Students!E:E, A7))</f>
        <v/>
      </c>
      <c r="E7" s="31" t="str">
        <f>IF(LEN(TRIM(A7))=0,"",COUNTIFS(Students!E:E, A7, Students!D:D, "&gt;=0"))</f>
        <v/>
      </c>
      <c r="F7" s="31" t="str">
        <f t="shared" si="0"/>
        <v/>
      </c>
      <c r="G7" s="6" t="str">
        <f t="shared" si="1"/>
        <v/>
      </c>
    </row>
    <row r="8" spans="1:7" x14ac:dyDescent="0.2">
      <c r="D8" s="31" t="str">
        <f>IF(LEN(TRIM(A8))=0,"",COUNTIFS(Students!E:E, A8))</f>
        <v/>
      </c>
      <c r="E8" s="31" t="str">
        <f>IF(LEN(TRIM(A8))=0,"",COUNTIFS(Students!E:E, A8, Students!D:D, "&gt;=0"))</f>
        <v/>
      </c>
      <c r="F8" s="31" t="str">
        <f t="shared" si="0"/>
        <v/>
      </c>
      <c r="G8" s="6" t="str">
        <f t="shared" si="1"/>
        <v/>
      </c>
    </row>
    <row r="9" spans="1:7" x14ac:dyDescent="0.2">
      <c r="D9" s="31" t="str">
        <f>IF(LEN(TRIM(A9))=0,"",COUNTIFS(Students!E:E, A9))</f>
        <v/>
      </c>
      <c r="E9" s="31" t="str">
        <f>IF(LEN(TRIM(A9))=0,"",COUNTIFS(Students!E:E, A9, Students!D:D, "&gt;=0"))</f>
        <v/>
      </c>
      <c r="F9" s="31" t="str">
        <f t="shared" si="0"/>
        <v/>
      </c>
      <c r="G9" s="6" t="str">
        <f t="shared" si="1"/>
        <v/>
      </c>
    </row>
    <row r="10" spans="1:7" x14ac:dyDescent="0.2">
      <c r="D10" s="31" t="str">
        <f>IF(LEN(TRIM(A10))=0,"",COUNTIFS(Students!E:E, A10))</f>
        <v/>
      </c>
      <c r="E10" s="31" t="str">
        <f>IF(LEN(TRIM(A10))=0,"",COUNTIFS(Students!E:E, A10, Students!D:D, "&gt;=0"))</f>
        <v/>
      </c>
      <c r="F10" s="31" t="str">
        <f t="shared" si="0"/>
        <v/>
      </c>
      <c r="G10" s="6" t="str">
        <f t="shared" si="1"/>
        <v/>
      </c>
    </row>
    <row r="11" spans="1:7" x14ac:dyDescent="0.2">
      <c r="D11" s="31" t="str">
        <f>IF(LEN(TRIM(A11))=0,"",COUNTIFS(Students!E:E, A11))</f>
        <v/>
      </c>
      <c r="E11" s="31" t="str">
        <f>IF(LEN(TRIM(A11))=0,"",COUNTIFS(Students!E:E, A11, Students!D:D, "&gt;=0"))</f>
        <v/>
      </c>
      <c r="F11" s="31" t="str">
        <f t="shared" si="0"/>
        <v/>
      </c>
      <c r="G11" s="6" t="str">
        <f t="shared" si="1"/>
        <v/>
      </c>
    </row>
    <row r="12" spans="1:7" x14ac:dyDescent="0.2">
      <c r="D12" s="31" t="str">
        <f>IF(LEN(TRIM(A12))=0,"",COUNTIFS(Students!E:E, A12))</f>
        <v/>
      </c>
      <c r="E12" s="31" t="str">
        <f>IF(LEN(TRIM(A12))=0,"",COUNTIFS(Students!E:E, A12, Students!D:D, "&gt;=0"))</f>
        <v/>
      </c>
      <c r="F12" s="31" t="str">
        <f t="shared" si="0"/>
        <v/>
      </c>
      <c r="G12" s="6" t="str">
        <f t="shared" si="1"/>
        <v/>
      </c>
    </row>
    <row r="13" spans="1:7" x14ac:dyDescent="0.2">
      <c r="D13" s="31" t="str">
        <f>IF(LEN(TRIM(A13))=0,"",COUNTIFS(Students!E:E, A13))</f>
        <v/>
      </c>
      <c r="E13" s="31" t="str">
        <f>IF(LEN(TRIM(A13))=0,"",COUNTIFS(Students!E:E, A13, Students!D:D, "&gt;=0"))</f>
        <v/>
      </c>
      <c r="F13" s="31" t="str">
        <f t="shared" si="0"/>
        <v/>
      </c>
      <c r="G13" s="6" t="str">
        <f t="shared" si="1"/>
        <v/>
      </c>
    </row>
    <row r="14" spans="1:7" x14ac:dyDescent="0.2">
      <c r="D14" s="31" t="str">
        <f>IF(LEN(TRIM(A14))=0,"",COUNTIFS(Students!E:E, A14))</f>
        <v/>
      </c>
      <c r="E14" s="31" t="str">
        <f>IF(LEN(TRIM(A14))=0,"",COUNTIFS(Students!E:E, A14, Students!D:D, "&gt;=0"))</f>
        <v/>
      </c>
      <c r="F14" s="31" t="str">
        <f t="shared" si="0"/>
        <v/>
      </c>
      <c r="G14" s="6" t="str">
        <f t="shared" si="1"/>
        <v/>
      </c>
    </row>
    <row r="15" spans="1:7" x14ac:dyDescent="0.2">
      <c r="D15" s="31" t="str">
        <f>IF(LEN(TRIM(A15))=0,"",COUNTIFS(Students!E:E, A15))</f>
        <v/>
      </c>
      <c r="E15" s="31" t="str">
        <f>IF(LEN(TRIM(A15))=0,"",COUNTIFS(Students!E:E, A15, Students!D:D, "&gt;=0"))</f>
        <v/>
      </c>
      <c r="F15" s="31" t="str">
        <f t="shared" si="0"/>
        <v/>
      </c>
      <c r="G15" s="6" t="str">
        <f t="shared" si="1"/>
        <v/>
      </c>
    </row>
    <row r="16" spans="1:7" x14ac:dyDescent="0.2">
      <c r="D16" s="31" t="str">
        <f>IF(LEN(TRIM(A16))=0,"",COUNTIFS(Students!E:E, A16))</f>
        <v/>
      </c>
      <c r="E16" s="31" t="str">
        <f>IF(LEN(TRIM(A16))=0,"",COUNTIFS(Students!E:E, A16, Students!D:D, "&gt;=0"))</f>
        <v/>
      </c>
      <c r="F16" s="31" t="str">
        <f t="shared" si="0"/>
        <v/>
      </c>
      <c r="G16" s="6" t="str">
        <f t="shared" si="1"/>
        <v/>
      </c>
    </row>
    <row r="17" spans="4:7" x14ac:dyDescent="0.2">
      <c r="D17" s="31" t="str">
        <f>IF(LEN(TRIM(A17))=0,"",COUNTIFS(Students!E:E, A17))</f>
        <v/>
      </c>
      <c r="E17" s="31" t="str">
        <f>IF(LEN(TRIM(A17))=0,"",COUNTIFS(Students!E:E, A17, Students!D:D, "&gt;=0"))</f>
        <v/>
      </c>
      <c r="F17" s="31" t="str">
        <f t="shared" si="0"/>
        <v/>
      </c>
      <c r="G17" s="6" t="str">
        <f t="shared" si="1"/>
        <v/>
      </c>
    </row>
    <row r="18" spans="4:7" x14ac:dyDescent="0.2">
      <c r="D18" s="31" t="str">
        <f>IF(LEN(TRIM(A18))=0,"",COUNTIFS(Students!E:E, A18))</f>
        <v/>
      </c>
      <c r="E18" s="31" t="str">
        <f>IF(LEN(TRIM(A18))=0,"",COUNTIFS(Students!E:E, A18, Students!D:D, "&gt;=0"))</f>
        <v/>
      </c>
      <c r="F18" s="31" t="str">
        <f t="shared" si="0"/>
        <v/>
      </c>
      <c r="G18" s="6" t="str">
        <f t="shared" si="1"/>
        <v/>
      </c>
    </row>
    <row r="19" spans="4:7" x14ac:dyDescent="0.2">
      <c r="D19" s="31" t="str">
        <f>IF(LEN(TRIM(A19))=0,"",COUNTIFS(Students!E:E, A19))</f>
        <v/>
      </c>
      <c r="E19" s="31" t="str">
        <f>IF(LEN(TRIM(A19))=0,"",COUNTIFS(Students!E:E, A19, Students!D:D, "&gt;=0"))</f>
        <v/>
      </c>
      <c r="F19" s="31" t="str">
        <f t="shared" si="0"/>
        <v/>
      </c>
      <c r="G19" s="6" t="str">
        <f t="shared" si="1"/>
        <v/>
      </c>
    </row>
    <row r="20" spans="4:7" x14ac:dyDescent="0.2">
      <c r="D20" s="31" t="str">
        <f>IF(LEN(TRIM(A20))=0,"",COUNTIFS(Students!E:E, A20))</f>
        <v/>
      </c>
      <c r="E20" s="31" t="str">
        <f>IF(LEN(TRIM(A20))=0,"",COUNTIFS(Students!E:E, A20, Students!D:D, "&gt;=0"))</f>
        <v/>
      </c>
      <c r="F20" s="31" t="str">
        <f t="shared" si="0"/>
        <v/>
      </c>
      <c r="G20" s="6" t="str">
        <f t="shared" si="1"/>
        <v/>
      </c>
    </row>
    <row r="21" spans="4:7" x14ac:dyDescent="0.2">
      <c r="D21" s="31" t="str">
        <f>IF(LEN(TRIM(A21))=0,"",COUNTIFS(Students!E:E, A21))</f>
        <v/>
      </c>
      <c r="E21" s="31" t="str">
        <f>IF(LEN(TRIM(A21))=0,"",COUNTIFS(Students!E:E, A21, Students!D:D, "&gt;=0"))</f>
        <v/>
      </c>
      <c r="F21" s="31" t="str">
        <f t="shared" si="0"/>
        <v/>
      </c>
      <c r="G21" s="6" t="str">
        <f t="shared" si="1"/>
        <v/>
      </c>
    </row>
    <row r="22" spans="4:7" x14ac:dyDescent="0.2">
      <c r="D22" s="31" t="str">
        <f>IF(LEN(TRIM(A22))=0,"",COUNTIFS(Students!E:E, A22))</f>
        <v/>
      </c>
      <c r="E22" s="31" t="str">
        <f>IF(LEN(TRIM(A22))=0,"",COUNTIFS(Students!E:E, A22, Students!D:D, "&gt;=0"))</f>
        <v/>
      </c>
      <c r="F22" s="31" t="str">
        <f t="shared" si="0"/>
        <v/>
      </c>
      <c r="G22" s="6" t="str">
        <f t="shared" si="1"/>
        <v/>
      </c>
    </row>
    <row r="23" spans="4:7" x14ac:dyDescent="0.2">
      <c r="D23" s="31" t="str">
        <f>IF(LEN(TRIM(A23))=0,"",COUNTIFS(Students!E:E, A23))</f>
        <v/>
      </c>
      <c r="E23" s="31" t="str">
        <f>IF(LEN(TRIM(A23))=0,"",COUNTIFS(Students!E:E, A23, Students!D:D, "&gt;=0"))</f>
        <v/>
      </c>
      <c r="F23" s="31" t="str">
        <f t="shared" si="0"/>
        <v/>
      </c>
      <c r="G23" s="6" t="str">
        <f t="shared" si="1"/>
        <v/>
      </c>
    </row>
    <row r="24" spans="4:7" x14ac:dyDescent="0.2">
      <c r="D24" s="31" t="str">
        <f>IF(LEN(TRIM(A24))=0,"",COUNTIFS(Students!E:E, A24))</f>
        <v/>
      </c>
      <c r="E24" s="31" t="str">
        <f>IF(LEN(TRIM(A24))=0,"",COUNTIFS(Students!E:E, A24, Students!D:D, "&gt;=0"))</f>
        <v/>
      </c>
      <c r="F24" s="31" t="str">
        <f t="shared" si="0"/>
        <v/>
      </c>
      <c r="G24" s="6" t="str">
        <f t="shared" si="1"/>
        <v/>
      </c>
    </row>
    <row r="25" spans="4:7" x14ac:dyDescent="0.2">
      <c r="D25" s="31" t="str">
        <f>IF(LEN(TRIM(A25))=0,"",COUNTIFS(Students!E:E, A25))</f>
        <v/>
      </c>
      <c r="E25" s="31" t="str">
        <f>IF(LEN(TRIM(A25))=0,"",COUNTIFS(Students!E:E, A25, Students!D:D, "&gt;=0"))</f>
        <v/>
      </c>
      <c r="F25" s="31" t="str">
        <f t="shared" si="0"/>
        <v/>
      </c>
      <c r="G25" s="6" t="str">
        <f t="shared" si="1"/>
        <v/>
      </c>
    </row>
    <row r="26" spans="4:7" x14ac:dyDescent="0.2">
      <c r="D26" s="31" t="str">
        <f>IF(LEN(TRIM(A26))=0,"",COUNTIFS(Students!E:E, A26))</f>
        <v/>
      </c>
      <c r="E26" s="31" t="str">
        <f>IF(LEN(TRIM(A26))=0,"",COUNTIFS(Students!E:E, A26, Students!D:D, "&gt;=0"))</f>
        <v/>
      </c>
      <c r="F26" s="31" t="str">
        <f t="shared" si="0"/>
        <v/>
      </c>
      <c r="G26" s="6" t="str">
        <f t="shared" si="1"/>
        <v/>
      </c>
    </row>
    <row r="27" spans="4:7" x14ac:dyDescent="0.2">
      <c r="D27" s="31" t="str">
        <f>IF(LEN(TRIM(A27))=0,"",COUNTIFS(Students!E:E, A27))</f>
        <v/>
      </c>
      <c r="E27" s="31" t="str">
        <f>IF(LEN(TRIM(A27))=0,"",COUNTIFS(Students!E:E, A27, Students!D:D, "&gt;=0"))</f>
        <v/>
      </c>
      <c r="F27" s="31" t="str">
        <f t="shared" si="0"/>
        <v/>
      </c>
      <c r="G27" s="6" t="str">
        <f t="shared" si="1"/>
        <v/>
      </c>
    </row>
    <row r="28" spans="4:7" x14ac:dyDescent="0.2">
      <c r="D28" s="31" t="str">
        <f>IF(LEN(TRIM(A28))=0,"",COUNTIFS(Students!E:E, A28))</f>
        <v/>
      </c>
      <c r="E28" s="31" t="str">
        <f>IF(LEN(TRIM(A28))=0,"",COUNTIFS(Students!E:E, A28, Students!D:D, "&gt;=0"))</f>
        <v/>
      </c>
      <c r="F28" s="31" t="str">
        <f t="shared" si="0"/>
        <v/>
      </c>
      <c r="G28" s="6" t="str">
        <f t="shared" si="1"/>
        <v/>
      </c>
    </row>
    <row r="29" spans="4:7" x14ac:dyDescent="0.2">
      <c r="D29" s="31" t="str">
        <f>IF(LEN(TRIM(A29))=0,"",COUNTIFS(Students!E:E, A29))</f>
        <v/>
      </c>
      <c r="E29" s="31" t="str">
        <f>IF(LEN(TRIM(A29))=0,"",COUNTIFS(Students!E:E, A29, Students!D:D, "&gt;=0"))</f>
        <v/>
      </c>
      <c r="F29" s="31" t="str">
        <f t="shared" si="0"/>
        <v/>
      </c>
      <c r="G29" s="6" t="str">
        <f t="shared" si="1"/>
        <v/>
      </c>
    </row>
    <row r="30" spans="4:7" x14ac:dyDescent="0.2">
      <c r="D30" s="31" t="str">
        <f>IF(LEN(TRIM(A30))=0,"",COUNTIFS(Students!E:E, A30))</f>
        <v/>
      </c>
      <c r="E30" s="31" t="str">
        <f>IF(LEN(TRIM(A30))=0,"",COUNTIFS(Students!E:E, A30, Students!D:D, "&gt;=0"))</f>
        <v/>
      </c>
      <c r="F30" s="31" t="str">
        <f t="shared" si="0"/>
        <v/>
      </c>
      <c r="G30" s="6" t="str">
        <f t="shared" si="1"/>
        <v/>
      </c>
    </row>
    <row r="31" spans="4:7" x14ac:dyDescent="0.2">
      <c r="D31" s="31" t="str">
        <f>IF(LEN(TRIM(A31))=0,"",COUNTIFS(Students!E:E, A31))</f>
        <v/>
      </c>
      <c r="E31" s="31" t="str">
        <f>IF(LEN(TRIM(A31))=0,"",COUNTIFS(Students!E:E, A31, Students!D:D, "&gt;=0"))</f>
        <v/>
      </c>
      <c r="F31" s="31" t="str">
        <f t="shared" si="0"/>
        <v/>
      </c>
      <c r="G31" s="6" t="str">
        <f t="shared" si="1"/>
        <v/>
      </c>
    </row>
    <row r="32" spans="4:7" x14ac:dyDescent="0.2">
      <c r="D32" s="31" t="str">
        <f>IF(LEN(TRIM(A32))=0,"",COUNTIFS(Students!E:E, A32))</f>
        <v/>
      </c>
      <c r="E32" s="31" t="str">
        <f>IF(LEN(TRIM(A32))=0,"",COUNTIFS(Students!E:E, A32, Students!D:D, "&gt;=0"))</f>
        <v/>
      </c>
      <c r="F32" s="31" t="str">
        <f t="shared" si="0"/>
        <v/>
      </c>
      <c r="G32" s="6" t="str">
        <f t="shared" si="1"/>
        <v/>
      </c>
    </row>
    <row r="33" spans="4:7" x14ac:dyDescent="0.2">
      <c r="D33" s="31" t="str">
        <f>IF(LEN(TRIM(A33))=0,"",COUNTIFS(Students!E:E, A33))</f>
        <v/>
      </c>
      <c r="E33" s="31" t="str">
        <f>IF(LEN(TRIM(A33))=0,"",COUNTIFS(Students!E:E, A33, Students!D:D, "&gt;=0"))</f>
        <v/>
      </c>
      <c r="F33" s="31" t="str">
        <f t="shared" si="0"/>
        <v/>
      </c>
      <c r="G33" s="6" t="str">
        <f t="shared" si="1"/>
        <v/>
      </c>
    </row>
    <row r="34" spans="4:7" x14ac:dyDescent="0.2">
      <c r="D34" s="31" t="str">
        <f>IF(LEN(TRIM(A34))=0,"",COUNTIFS(Students!E:E, A34))</f>
        <v/>
      </c>
      <c r="E34" s="31" t="str">
        <f>IF(LEN(TRIM(A34))=0,"",COUNTIFS(Students!E:E, A34, Students!D:D, "&gt;=0"))</f>
        <v/>
      </c>
      <c r="F34" s="31" t="str">
        <f t="shared" si="0"/>
        <v/>
      </c>
      <c r="G34" s="6" t="str">
        <f t="shared" si="1"/>
        <v/>
      </c>
    </row>
    <row r="35" spans="4:7" x14ac:dyDescent="0.2">
      <c r="D35" s="31" t="str">
        <f>IF(LEN(TRIM(A35))=0,"",COUNTIFS(Students!E:E, A35))</f>
        <v/>
      </c>
      <c r="E35" s="31" t="str">
        <f>IF(LEN(TRIM(A35))=0,"",COUNTIFS(Students!E:E, A35, Students!D:D, "&gt;=0"))</f>
        <v/>
      </c>
      <c r="F35" s="31" t="str">
        <f t="shared" si="0"/>
        <v/>
      </c>
      <c r="G35" s="6" t="str">
        <f t="shared" si="1"/>
        <v/>
      </c>
    </row>
    <row r="36" spans="4:7" x14ac:dyDescent="0.2">
      <c r="D36" s="31" t="str">
        <f>IF(LEN(TRIM(A36))=0,"",COUNTIFS(Students!E:E, A36))</f>
        <v/>
      </c>
      <c r="E36" s="31" t="str">
        <f>IF(LEN(TRIM(A36))=0,"",COUNTIFS(Students!E:E, A36, Students!D:D, "&gt;=0"))</f>
        <v/>
      </c>
      <c r="F36" s="31" t="str">
        <f t="shared" si="0"/>
        <v/>
      </c>
      <c r="G36" s="6" t="str">
        <f t="shared" si="1"/>
        <v/>
      </c>
    </row>
    <row r="37" spans="4:7" x14ac:dyDescent="0.2">
      <c r="D37" s="31" t="str">
        <f>IF(LEN(TRIM(A37))=0,"",COUNTIFS(Students!E:E, A37))</f>
        <v/>
      </c>
      <c r="E37" s="31" t="str">
        <f>IF(LEN(TRIM(A37))=0,"",COUNTIFS(Students!E:E, A37, Students!D:D, "&gt;=0"))</f>
        <v/>
      </c>
      <c r="F37" s="31" t="str">
        <f t="shared" si="0"/>
        <v/>
      </c>
      <c r="G37" s="6" t="str">
        <f t="shared" si="1"/>
        <v/>
      </c>
    </row>
    <row r="38" spans="4:7" x14ac:dyDescent="0.2">
      <c r="D38" s="31" t="str">
        <f>IF(LEN(TRIM(A38))=0,"",COUNTIFS(Students!E:E, A38))</f>
        <v/>
      </c>
      <c r="E38" s="31" t="str">
        <f>IF(LEN(TRIM(A38))=0,"",COUNTIFS(Students!E:E, A38, Students!D:D, "&gt;=0"))</f>
        <v/>
      </c>
      <c r="F38" s="31" t="str">
        <f t="shared" si="0"/>
        <v/>
      </c>
      <c r="G38" s="6" t="str">
        <f t="shared" si="1"/>
        <v/>
      </c>
    </row>
    <row r="39" spans="4:7" x14ac:dyDescent="0.2">
      <c r="D39" s="31" t="str">
        <f>IF(LEN(TRIM(A39))=0,"",COUNTIFS(Students!E:E, A39))</f>
        <v/>
      </c>
      <c r="E39" s="31" t="str">
        <f>IF(LEN(TRIM(A39))=0,"",COUNTIFS(Students!E:E, A39, Students!D:D, "&gt;=0"))</f>
        <v/>
      </c>
      <c r="F39" s="31" t="str">
        <f t="shared" si="0"/>
        <v/>
      </c>
      <c r="G39" s="6" t="str">
        <f t="shared" si="1"/>
        <v/>
      </c>
    </row>
    <row r="40" spans="4:7" x14ac:dyDescent="0.2">
      <c r="D40" s="31" t="str">
        <f>IF(LEN(TRIM(A40))=0,"",COUNTIFS(Students!E:E, A40))</f>
        <v/>
      </c>
      <c r="E40" s="31" t="str">
        <f>IF(LEN(TRIM(A40))=0,"",COUNTIFS(Students!E:E, A40, Students!D:D, "&gt;=0"))</f>
        <v/>
      </c>
      <c r="F40" s="31" t="str">
        <f t="shared" si="0"/>
        <v/>
      </c>
      <c r="G40" s="6" t="str">
        <f t="shared" si="1"/>
        <v/>
      </c>
    </row>
    <row r="41" spans="4:7" x14ac:dyDescent="0.2">
      <c r="D41" s="31" t="str">
        <f>IF(LEN(TRIM(A41))=0,"",COUNTIFS(Students!E:E, A41))</f>
        <v/>
      </c>
      <c r="E41" s="31" t="str">
        <f>IF(LEN(TRIM(A41))=0,"",COUNTIFS(Students!E:E, A41, Students!D:D, "&gt;=0"))</f>
        <v/>
      </c>
      <c r="F41" s="31" t="str">
        <f t="shared" si="0"/>
        <v/>
      </c>
      <c r="G41" s="6" t="str">
        <f t="shared" si="1"/>
        <v/>
      </c>
    </row>
    <row r="42" spans="4:7" x14ac:dyDescent="0.2">
      <c r="D42" s="31" t="str">
        <f>IF(LEN(TRIM(A42))=0,"",COUNTIFS(Students!E:E, A42))</f>
        <v/>
      </c>
      <c r="E42" s="31" t="str">
        <f>IF(LEN(TRIM(A42))=0,"",COUNTIFS(Students!E:E, A42, Students!D:D, "&gt;=0"))</f>
        <v/>
      </c>
      <c r="F42" s="31" t="str">
        <f t="shared" si="0"/>
        <v/>
      </c>
      <c r="G42" s="6" t="str">
        <f t="shared" si="1"/>
        <v/>
      </c>
    </row>
    <row r="43" spans="4:7" x14ac:dyDescent="0.2">
      <c r="D43" s="31" t="str">
        <f>IF(LEN(TRIM(A43))=0,"",COUNTIFS(Students!E:E, A43))</f>
        <v/>
      </c>
      <c r="E43" s="31" t="str">
        <f>IF(LEN(TRIM(A43))=0,"",COUNTIFS(Students!E:E, A43, Students!D:D, "&gt;=0"))</f>
        <v/>
      </c>
      <c r="F43" s="31" t="str">
        <f t="shared" si="0"/>
        <v/>
      </c>
      <c r="G43" s="6" t="str">
        <f t="shared" si="1"/>
        <v/>
      </c>
    </row>
    <row r="44" spans="4:7" x14ac:dyDescent="0.2">
      <c r="D44" s="31" t="str">
        <f>IF(LEN(TRIM(A44))=0,"",COUNTIFS(Students!E:E, A44))</f>
        <v/>
      </c>
      <c r="E44" s="31" t="str">
        <f>IF(LEN(TRIM(A44))=0,"",COUNTIFS(Students!E:E, A44, Students!D:D, "&gt;=0"))</f>
        <v/>
      </c>
      <c r="F44" s="31" t="str">
        <f t="shared" si="0"/>
        <v/>
      </c>
      <c r="G44" s="6" t="str">
        <f t="shared" si="1"/>
        <v/>
      </c>
    </row>
    <row r="45" spans="4:7" x14ac:dyDescent="0.2">
      <c r="D45" s="31" t="str">
        <f>IF(LEN(TRIM(A45))=0,"",COUNTIFS(Students!E:E, A45))</f>
        <v/>
      </c>
      <c r="E45" s="31" t="str">
        <f>IF(LEN(TRIM(A45))=0,"",COUNTIFS(Students!E:E, A45, Students!D:D, "&gt;=0"))</f>
        <v/>
      </c>
      <c r="F45" s="31" t="str">
        <f t="shared" si="0"/>
        <v/>
      </c>
      <c r="G45" s="6" t="str">
        <f t="shared" si="1"/>
        <v/>
      </c>
    </row>
    <row r="46" spans="4:7" x14ac:dyDescent="0.2">
      <c r="D46" s="31" t="str">
        <f>IF(LEN(TRIM(A46))=0,"",COUNTIFS(Students!E:E, A46))</f>
        <v/>
      </c>
      <c r="E46" s="31" t="str">
        <f>IF(LEN(TRIM(A46))=0,"",COUNTIFS(Students!E:E, A46, Students!D:D, "&gt;=0"))</f>
        <v/>
      </c>
      <c r="F46" s="31" t="str">
        <f t="shared" si="0"/>
        <v/>
      </c>
      <c r="G46" s="6" t="str">
        <f t="shared" si="1"/>
        <v/>
      </c>
    </row>
    <row r="47" spans="4:7" x14ac:dyDescent="0.2">
      <c r="D47" s="31" t="str">
        <f>IF(LEN(TRIM(A47))=0,"",COUNTIFS(Students!E:E, A47))</f>
        <v/>
      </c>
      <c r="E47" s="31" t="str">
        <f>IF(LEN(TRIM(A47))=0,"",COUNTIFS(Students!E:E, A47, Students!D:D, "&gt;=0"))</f>
        <v/>
      </c>
      <c r="F47" s="31" t="str">
        <f t="shared" si="0"/>
        <v/>
      </c>
      <c r="G47" s="6" t="str">
        <f t="shared" si="1"/>
        <v/>
      </c>
    </row>
    <row r="48" spans="4:7" x14ac:dyDescent="0.2">
      <c r="D48" s="31" t="str">
        <f>IF(LEN(TRIM(A48))=0,"",COUNTIFS(Students!E:E, A48))</f>
        <v/>
      </c>
      <c r="E48" s="31" t="str">
        <f>IF(LEN(TRIM(A48))=0,"",COUNTIFS(Students!E:E, A48, Students!D:D, "&gt;=0"))</f>
        <v/>
      </c>
      <c r="F48" s="31" t="str">
        <f t="shared" si="0"/>
        <v/>
      </c>
      <c r="G48" s="6" t="str">
        <f t="shared" si="1"/>
        <v/>
      </c>
    </row>
    <row r="49" spans="4:7" x14ac:dyDescent="0.2">
      <c r="D49" s="31" t="str">
        <f>IF(LEN(TRIM(A49))=0,"",COUNTIFS(Students!E:E, A49))</f>
        <v/>
      </c>
      <c r="E49" s="31" t="str">
        <f>IF(LEN(TRIM(A49))=0,"",COUNTIFS(Students!E:E, A49, Students!D:D, "&gt;=0"))</f>
        <v/>
      </c>
      <c r="F49" s="31" t="str">
        <f t="shared" si="0"/>
        <v/>
      </c>
      <c r="G49" s="6" t="str">
        <f t="shared" si="1"/>
        <v/>
      </c>
    </row>
    <row r="50" spans="4:7" x14ac:dyDescent="0.2">
      <c r="D50" s="31" t="str">
        <f>IF(LEN(TRIM(A50))=0,"",COUNTIFS(Students!E:E, A50))</f>
        <v/>
      </c>
      <c r="E50" s="31" t="str">
        <f>IF(LEN(TRIM(A50))=0,"",COUNTIFS(Students!E:E, A50, Students!D:D, "&gt;=0"))</f>
        <v/>
      </c>
      <c r="F50" s="31" t="str">
        <f t="shared" si="0"/>
        <v/>
      </c>
      <c r="G50" s="6" t="str">
        <f t="shared" si="1"/>
        <v/>
      </c>
    </row>
    <row r="51" spans="4:7" x14ac:dyDescent="0.2">
      <c r="D51" s="31" t="str">
        <f>IF(LEN(TRIM(A51))=0,"",COUNTIFS(Students!E:E, A51))</f>
        <v/>
      </c>
      <c r="E51" s="31" t="str">
        <f>IF(LEN(TRIM(A51))=0,"",COUNTIFS(Students!E:E, A51, Students!D:D, "&gt;=0"))</f>
        <v/>
      </c>
      <c r="F51" s="31" t="str">
        <f t="shared" si="0"/>
        <v/>
      </c>
      <c r="G51" s="6" t="str">
        <f t="shared" si="1"/>
        <v/>
      </c>
    </row>
    <row r="52" spans="4:7" x14ac:dyDescent="0.2">
      <c r="D52" s="31" t="str">
        <f>IF(LEN(TRIM(A52))=0,"",COUNTIFS(Students!E:E, A52))</f>
        <v/>
      </c>
      <c r="E52" s="31" t="str">
        <f>IF(LEN(TRIM(A52))=0,"",COUNTIFS(Students!E:E, A52, Students!D:D, "&gt;=0"))</f>
        <v/>
      </c>
      <c r="F52" s="31" t="str">
        <f t="shared" si="0"/>
        <v/>
      </c>
      <c r="G52" s="6" t="str">
        <f t="shared" si="1"/>
        <v/>
      </c>
    </row>
    <row r="53" spans="4:7" x14ac:dyDescent="0.2">
      <c r="D53" s="31" t="str">
        <f>IF(LEN(TRIM(A53))=0,"",COUNTIFS(Students!E:E, A53))</f>
        <v/>
      </c>
      <c r="E53" s="31" t="str">
        <f>IF(LEN(TRIM(A53))=0,"",COUNTIFS(Students!E:E, A53, Students!D:D, "&gt;=0"))</f>
        <v/>
      </c>
      <c r="F53" s="31" t="str">
        <f t="shared" si="0"/>
        <v/>
      </c>
      <c r="G53" s="6" t="str">
        <f t="shared" si="1"/>
        <v/>
      </c>
    </row>
    <row r="54" spans="4:7" x14ac:dyDescent="0.2">
      <c r="D54" s="31" t="str">
        <f>IF(LEN(TRIM(A54))=0,"",COUNTIFS(Students!E:E, A54))</f>
        <v/>
      </c>
      <c r="E54" s="31" t="str">
        <f>IF(LEN(TRIM(A54))=0,"",COUNTIFS(Students!E:E, A54, Students!D:D, "&gt;=0"))</f>
        <v/>
      </c>
      <c r="F54" s="31" t="str">
        <f t="shared" si="0"/>
        <v/>
      </c>
      <c r="G54" s="6" t="str">
        <f t="shared" si="1"/>
        <v/>
      </c>
    </row>
    <row r="55" spans="4:7" x14ac:dyDescent="0.2">
      <c r="D55" s="31" t="str">
        <f>IF(LEN(TRIM(A55))=0,"",COUNTIFS(Students!E:E, A55))</f>
        <v/>
      </c>
      <c r="E55" s="31" t="str">
        <f>IF(LEN(TRIM(A55))=0,"",COUNTIFS(Students!E:E, A55, Students!D:D, "&gt;=0"))</f>
        <v/>
      </c>
      <c r="F55" s="31" t="str">
        <f t="shared" si="0"/>
        <v/>
      </c>
      <c r="G55" s="6" t="str">
        <f t="shared" si="1"/>
        <v/>
      </c>
    </row>
    <row r="56" spans="4:7" x14ac:dyDescent="0.2">
      <c r="D56" s="31" t="str">
        <f>IF(LEN(TRIM(A56))=0,"",COUNTIFS(Students!E:E, A56))</f>
        <v/>
      </c>
      <c r="E56" s="31" t="str">
        <f>IF(LEN(TRIM(A56))=0,"",COUNTIFS(Students!E:E, A56, Students!D:D, "&gt;=0"))</f>
        <v/>
      </c>
      <c r="F56" s="31" t="str">
        <f t="shared" si="0"/>
        <v/>
      </c>
      <c r="G56" s="6" t="str">
        <f t="shared" si="1"/>
        <v/>
      </c>
    </row>
    <row r="57" spans="4:7" x14ac:dyDescent="0.2">
      <c r="D57" s="31" t="str">
        <f>IF(LEN(TRIM(A57))=0,"",COUNTIFS(Students!E:E, A57))</f>
        <v/>
      </c>
      <c r="E57" s="31" t="str">
        <f>IF(LEN(TRIM(A57))=0,"",COUNTIFS(Students!E:E, A57, Students!D:D, "&gt;=0"))</f>
        <v/>
      </c>
      <c r="F57" s="31" t="str">
        <f t="shared" si="0"/>
        <v/>
      </c>
      <c r="G57" s="6" t="str">
        <f t="shared" si="1"/>
        <v/>
      </c>
    </row>
    <row r="58" spans="4:7" x14ac:dyDescent="0.2">
      <c r="D58" s="31" t="str">
        <f>IF(LEN(TRIM(A58))=0,"",COUNTIFS(Students!E:E, A58))</f>
        <v/>
      </c>
      <c r="E58" s="31" t="str">
        <f>IF(LEN(TRIM(A58))=0,"",COUNTIFS(Students!E:E, A58, Students!D:D, "&gt;=0"))</f>
        <v/>
      </c>
      <c r="F58" s="31" t="str">
        <f t="shared" si="0"/>
        <v/>
      </c>
      <c r="G58" s="6" t="str">
        <f t="shared" si="1"/>
        <v/>
      </c>
    </row>
    <row r="59" spans="4:7" x14ac:dyDescent="0.2">
      <c r="D59" s="31" t="str">
        <f>IF(LEN(TRIM(A59))=0,"",COUNTIFS(Students!E:E, A59))</f>
        <v/>
      </c>
      <c r="E59" s="31" t="str">
        <f>IF(LEN(TRIM(A59))=0,"",COUNTIFS(Students!E:E, A59, Students!D:D, "&gt;=0"))</f>
        <v/>
      </c>
      <c r="F59" s="31" t="str">
        <f t="shared" si="0"/>
        <v/>
      </c>
      <c r="G59" s="6" t="str">
        <f t="shared" si="1"/>
        <v/>
      </c>
    </row>
    <row r="60" spans="4:7" x14ac:dyDescent="0.2">
      <c r="D60" s="31" t="str">
        <f>IF(LEN(TRIM(A60))=0,"",COUNTIFS(Students!E:E, A60))</f>
        <v/>
      </c>
      <c r="E60" s="31" t="str">
        <f>IF(LEN(TRIM(A60))=0,"",COUNTIFS(Students!E:E, A60, Students!D:D, "&gt;=0"))</f>
        <v/>
      </c>
      <c r="F60" s="31" t="str">
        <f t="shared" si="0"/>
        <v/>
      </c>
      <c r="G60" s="6" t="str">
        <f t="shared" si="1"/>
        <v/>
      </c>
    </row>
    <row r="61" spans="4:7" x14ac:dyDescent="0.2">
      <c r="D61" s="31" t="str">
        <f>IF(LEN(TRIM(A61))=0,"",COUNTIFS(Students!E:E, A61))</f>
        <v/>
      </c>
      <c r="E61" s="31" t="str">
        <f>IF(LEN(TRIM(A61))=0,"",COUNTIFS(Students!E:E, A61, Students!D:D, "&gt;=0"))</f>
        <v/>
      </c>
      <c r="F61" s="31" t="str">
        <f t="shared" si="0"/>
        <v/>
      </c>
      <c r="G61" s="6" t="str">
        <f t="shared" si="1"/>
        <v/>
      </c>
    </row>
    <row r="62" spans="4:7" x14ac:dyDescent="0.2">
      <c r="D62" s="31" t="str">
        <f>IF(LEN(TRIM(A62))=0,"",COUNTIFS(Students!E:E, A62))</f>
        <v/>
      </c>
      <c r="E62" s="31" t="str">
        <f>IF(LEN(TRIM(A62))=0,"",COUNTIFS(Students!E:E, A62, Students!D:D, "&gt;=0"))</f>
        <v/>
      </c>
      <c r="F62" s="31" t="str">
        <f t="shared" si="0"/>
        <v/>
      </c>
      <c r="G62" s="6" t="str">
        <f t="shared" si="1"/>
        <v/>
      </c>
    </row>
    <row r="63" spans="4:7" x14ac:dyDescent="0.2">
      <c r="D63" s="31" t="str">
        <f>IF(LEN(TRIM(A63))=0,"",COUNTIFS(Students!E:E, A63))</f>
        <v/>
      </c>
      <c r="E63" s="31" t="str">
        <f>IF(LEN(TRIM(A63))=0,"",COUNTIFS(Students!E:E, A63, Students!D:D, "&gt;=0"))</f>
        <v/>
      </c>
      <c r="F63" s="31" t="str">
        <f t="shared" si="0"/>
        <v/>
      </c>
      <c r="G63" s="6" t="str">
        <f t="shared" si="1"/>
        <v/>
      </c>
    </row>
    <row r="64" spans="4:7" x14ac:dyDescent="0.2">
      <c r="D64" s="31" t="str">
        <f>IF(LEN(TRIM(A64))=0,"",COUNTIFS(Students!E:E, A64))</f>
        <v/>
      </c>
      <c r="E64" s="31" t="str">
        <f>IF(LEN(TRIM(A64))=0,"",COUNTIFS(Students!E:E, A64, Students!D:D, "&gt;=0"))</f>
        <v/>
      </c>
      <c r="F64" s="31" t="str">
        <f t="shared" si="0"/>
        <v/>
      </c>
      <c r="G64" s="6" t="str">
        <f t="shared" si="1"/>
        <v/>
      </c>
    </row>
    <row r="65" spans="4:7" x14ac:dyDescent="0.2">
      <c r="D65" s="31" t="str">
        <f>IF(LEN(TRIM(A65))=0,"",COUNTIFS(Students!E:E, A65))</f>
        <v/>
      </c>
      <c r="E65" s="31" t="str">
        <f>IF(LEN(TRIM(A65))=0,"",COUNTIFS(Students!E:E, A65, Students!D:D, "&gt;=0"))</f>
        <v/>
      </c>
      <c r="F65" s="31" t="str">
        <f t="shared" si="0"/>
        <v/>
      </c>
      <c r="G65" s="6" t="str">
        <f t="shared" si="1"/>
        <v/>
      </c>
    </row>
    <row r="66" spans="4:7" x14ac:dyDescent="0.2">
      <c r="D66" s="31" t="str">
        <f>IF(LEN(TRIM(A66))=0,"",COUNTIFS(Students!E:E, A66))</f>
        <v/>
      </c>
      <c r="E66" s="31" t="str">
        <f>IF(LEN(TRIM(A66))=0,"",COUNTIFS(Students!E:E, A66, Students!D:D, "&gt;=0"))</f>
        <v/>
      </c>
      <c r="F66" s="31" t="str">
        <f t="shared" si="0"/>
        <v/>
      </c>
      <c r="G66" s="6" t="str">
        <f t="shared" si="1"/>
        <v/>
      </c>
    </row>
    <row r="67" spans="4:7" x14ac:dyDescent="0.2">
      <c r="D67" s="31" t="str">
        <f>IF(LEN(TRIM(A67))=0,"",COUNTIFS(Students!E:E, A67))</f>
        <v/>
      </c>
      <c r="E67" s="31" t="str">
        <f>IF(LEN(TRIM(A67))=0,"",COUNTIFS(Students!E:E, A67, Students!D:D, "&gt;=0"))</f>
        <v/>
      </c>
      <c r="F67" s="31" t="str">
        <f t="shared" ref="F67:F130" si="2">IFERROR(D67-E67,"")</f>
        <v/>
      </c>
      <c r="G67" s="6" t="str">
        <f t="shared" ref="G67:G130" si="3">IFERROR(IF(D67=0, "N/A", E67/D67),"")</f>
        <v/>
      </c>
    </row>
    <row r="68" spans="4:7" x14ac:dyDescent="0.2">
      <c r="D68" s="31" t="str">
        <f>IF(LEN(TRIM(A68))=0,"",COUNTIFS(Students!E:E, A68))</f>
        <v/>
      </c>
      <c r="E68" s="31" t="str">
        <f>IF(LEN(TRIM(A68))=0,"",COUNTIFS(Students!E:E, A68, Students!D:D, "&gt;=0"))</f>
        <v/>
      </c>
      <c r="F68" s="31" t="str">
        <f t="shared" si="2"/>
        <v/>
      </c>
      <c r="G68" s="6" t="str">
        <f t="shared" si="3"/>
        <v/>
      </c>
    </row>
    <row r="69" spans="4:7" x14ac:dyDescent="0.2">
      <c r="D69" s="31" t="str">
        <f>IF(LEN(TRIM(A69))=0,"",COUNTIFS(Students!E:E, A69))</f>
        <v/>
      </c>
      <c r="E69" s="31" t="str">
        <f>IF(LEN(TRIM(A69))=0,"",COUNTIFS(Students!E:E, A69, Students!D:D, "&gt;=0"))</f>
        <v/>
      </c>
      <c r="F69" s="31" t="str">
        <f t="shared" si="2"/>
        <v/>
      </c>
      <c r="G69" s="6" t="str">
        <f t="shared" si="3"/>
        <v/>
      </c>
    </row>
    <row r="70" spans="4:7" x14ac:dyDescent="0.2">
      <c r="D70" s="31" t="str">
        <f>IF(LEN(TRIM(A70))=0,"",COUNTIFS(Students!E:E, A70))</f>
        <v/>
      </c>
      <c r="E70" s="31" t="str">
        <f>IF(LEN(TRIM(A70))=0,"",COUNTIFS(Students!E:E, A70, Students!D:D, "&gt;=0"))</f>
        <v/>
      </c>
      <c r="F70" s="31" t="str">
        <f t="shared" si="2"/>
        <v/>
      </c>
      <c r="G70" s="6" t="str">
        <f t="shared" si="3"/>
        <v/>
      </c>
    </row>
    <row r="71" spans="4:7" x14ac:dyDescent="0.2">
      <c r="D71" s="31" t="str">
        <f>IF(LEN(TRIM(A71))=0,"",COUNTIFS(Students!E:E, A71))</f>
        <v/>
      </c>
      <c r="E71" s="31" t="str">
        <f>IF(LEN(TRIM(A71))=0,"",COUNTIFS(Students!E:E, A71, Students!D:D, "&gt;=0"))</f>
        <v/>
      </c>
      <c r="F71" s="31" t="str">
        <f t="shared" si="2"/>
        <v/>
      </c>
      <c r="G71" s="6" t="str">
        <f t="shared" si="3"/>
        <v/>
      </c>
    </row>
    <row r="72" spans="4:7" x14ac:dyDescent="0.2">
      <c r="D72" s="31" t="str">
        <f>IF(LEN(TRIM(A72))=0,"",COUNTIFS(Students!E:E, A72))</f>
        <v/>
      </c>
      <c r="E72" s="31" t="str">
        <f>IF(LEN(TRIM(A72))=0,"",COUNTIFS(Students!E:E, A72, Students!D:D, "&gt;=0"))</f>
        <v/>
      </c>
      <c r="F72" s="31" t="str">
        <f t="shared" si="2"/>
        <v/>
      </c>
      <c r="G72" s="6" t="str">
        <f t="shared" si="3"/>
        <v/>
      </c>
    </row>
    <row r="73" spans="4:7" x14ac:dyDescent="0.2">
      <c r="D73" s="31" t="str">
        <f>IF(LEN(TRIM(A73))=0,"",COUNTIFS(Students!E:E, A73))</f>
        <v/>
      </c>
      <c r="E73" s="31" t="str">
        <f>IF(LEN(TRIM(A73))=0,"",COUNTIFS(Students!E:E, A73, Students!D:D, "&gt;=0"))</f>
        <v/>
      </c>
      <c r="F73" s="31" t="str">
        <f t="shared" si="2"/>
        <v/>
      </c>
      <c r="G73" s="6" t="str">
        <f t="shared" si="3"/>
        <v/>
      </c>
    </row>
    <row r="74" spans="4:7" x14ac:dyDescent="0.2">
      <c r="D74" s="31" t="str">
        <f>IF(LEN(TRIM(A74))=0,"",COUNTIFS(Students!E:E, A74))</f>
        <v/>
      </c>
      <c r="E74" s="31" t="str">
        <f>IF(LEN(TRIM(A74))=0,"",COUNTIFS(Students!E:E, A74, Students!D:D, "&gt;=0"))</f>
        <v/>
      </c>
      <c r="F74" s="31" t="str">
        <f t="shared" si="2"/>
        <v/>
      </c>
      <c r="G74" s="6" t="str">
        <f t="shared" si="3"/>
        <v/>
      </c>
    </row>
    <row r="75" spans="4:7" x14ac:dyDescent="0.2">
      <c r="D75" s="31" t="str">
        <f>IF(LEN(TRIM(A75))=0,"",COUNTIFS(Students!E:E, A75))</f>
        <v/>
      </c>
      <c r="E75" s="31" t="str">
        <f>IF(LEN(TRIM(A75))=0,"",COUNTIFS(Students!E:E, A75, Students!D:D, "&gt;=0"))</f>
        <v/>
      </c>
      <c r="F75" s="31" t="str">
        <f t="shared" si="2"/>
        <v/>
      </c>
      <c r="G75" s="6" t="str">
        <f t="shared" si="3"/>
        <v/>
      </c>
    </row>
    <row r="76" spans="4:7" x14ac:dyDescent="0.2">
      <c r="D76" s="31" t="str">
        <f>IF(LEN(TRIM(A76))=0,"",COUNTIFS(Students!E:E, A76))</f>
        <v/>
      </c>
      <c r="E76" s="31" t="str">
        <f>IF(LEN(TRIM(A76))=0,"",COUNTIFS(Students!E:E, A76, Students!D:D, "&gt;=0"))</f>
        <v/>
      </c>
      <c r="F76" s="31" t="str">
        <f t="shared" si="2"/>
        <v/>
      </c>
      <c r="G76" s="6" t="str">
        <f t="shared" si="3"/>
        <v/>
      </c>
    </row>
    <row r="77" spans="4:7" x14ac:dyDescent="0.2">
      <c r="D77" s="31" t="str">
        <f>IF(LEN(TRIM(A77))=0,"",COUNTIFS(Students!E:E, A77))</f>
        <v/>
      </c>
      <c r="E77" s="31" t="str">
        <f>IF(LEN(TRIM(A77))=0,"",COUNTIFS(Students!E:E, A77, Students!D:D, "&gt;=0"))</f>
        <v/>
      </c>
      <c r="F77" s="31" t="str">
        <f t="shared" si="2"/>
        <v/>
      </c>
      <c r="G77" s="6" t="str">
        <f t="shared" si="3"/>
        <v/>
      </c>
    </row>
    <row r="78" spans="4:7" x14ac:dyDescent="0.2">
      <c r="D78" s="31" t="str">
        <f>IF(LEN(TRIM(A78))=0,"",COUNTIFS(Students!E:E, A78))</f>
        <v/>
      </c>
      <c r="E78" s="31" t="str">
        <f>IF(LEN(TRIM(A78))=0,"",COUNTIFS(Students!E:E, A78, Students!D:D, "&gt;=0"))</f>
        <v/>
      </c>
      <c r="F78" s="31" t="str">
        <f t="shared" si="2"/>
        <v/>
      </c>
      <c r="G78" s="6" t="str">
        <f t="shared" si="3"/>
        <v/>
      </c>
    </row>
    <row r="79" spans="4:7" x14ac:dyDescent="0.2">
      <c r="D79" s="31" t="str">
        <f>IF(LEN(TRIM(A79))=0,"",COUNTIFS(Students!E:E, A79))</f>
        <v/>
      </c>
      <c r="E79" s="31" t="str">
        <f>IF(LEN(TRIM(A79))=0,"",COUNTIFS(Students!E:E, A79, Students!D:D, "&gt;=0"))</f>
        <v/>
      </c>
      <c r="F79" s="31" t="str">
        <f t="shared" si="2"/>
        <v/>
      </c>
      <c r="G79" s="6" t="str">
        <f t="shared" si="3"/>
        <v/>
      </c>
    </row>
    <row r="80" spans="4:7" x14ac:dyDescent="0.2">
      <c r="D80" s="31" t="str">
        <f>IF(LEN(TRIM(A80))=0,"",COUNTIFS(Students!E:E, A80))</f>
        <v/>
      </c>
      <c r="E80" s="31" t="str">
        <f>IF(LEN(TRIM(A80))=0,"",COUNTIFS(Students!E:E, A80, Students!D:D, "&gt;=0"))</f>
        <v/>
      </c>
      <c r="F80" s="31" t="str">
        <f t="shared" si="2"/>
        <v/>
      </c>
      <c r="G80" s="6" t="str">
        <f t="shared" si="3"/>
        <v/>
      </c>
    </row>
    <row r="81" spans="4:7" x14ac:dyDescent="0.2">
      <c r="D81" s="31" t="str">
        <f>IF(LEN(TRIM(A81))=0,"",COUNTIFS(Students!E:E, A81))</f>
        <v/>
      </c>
      <c r="E81" s="31" t="str">
        <f>IF(LEN(TRIM(A81))=0,"",COUNTIFS(Students!E:E, A81, Students!D:D, "&gt;=0"))</f>
        <v/>
      </c>
      <c r="F81" s="31" t="str">
        <f t="shared" si="2"/>
        <v/>
      </c>
      <c r="G81" s="6" t="str">
        <f t="shared" si="3"/>
        <v/>
      </c>
    </row>
    <row r="82" spans="4:7" x14ac:dyDescent="0.2">
      <c r="D82" s="31" t="str">
        <f>IF(LEN(TRIM(A82))=0,"",COUNTIFS(Students!E:E, A82))</f>
        <v/>
      </c>
      <c r="E82" s="31" t="str">
        <f>IF(LEN(TRIM(A82))=0,"",COUNTIFS(Students!E:E, A82, Students!D:D, "&gt;=0"))</f>
        <v/>
      </c>
      <c r="F82" s="31" t="str">
        <f t="shared" si="2"/>
        <v/>
      </c>
      <c r="G82" s="6" t="str">
        <f t="shared" si="3"/>
        <v/>
      </c>
    </row>
    <row r="83" spans="4:7" x14ac:dyDescent="0.2">
      <c r="D83" s="31" t="str">
        <f>IF(LEN(TRIM(A83))=0,"",COUNTIFS(Students!E:E, A83))</f>
        <v/>
      </c>
      <c r="E83" s="31" t="str">
        <f>IF(LEN(TRIM(A83))=0,"",COUNTIFS(Students!E:E, A83, Students!D:D, "&gt;=0"))</f>
        <v/>
      </c>
      <c r="F83" s="31" t="str">
        <f t="shared" si="2"/>
        <v/>
      </c>
      <c r="G83" s="6" t="str">
        <f t="shared" si="3"/>
        <v/>
      </c>
    </row>
    <row r="84" spans="4:7" x14ac:dyDescent="0.2">
      <c r="D84" s="31" t="str">
        <f>IF(LEN(TRIM(A84))=0,"",COUNTIFS(Students!E:E, A84))</f>
        <v/>
      </c>
      <c r="E84" s="31" t="str">
        <f>IF(LEN(TRIM(A84))=0,"",COUNTIFS(Students!E:E, A84, Students!D:D, "&gt;=0"))</f>
        <v/>
      </c>
      <c r="F84" s="31" t="str">
        <f t="shared" si="2"/>
        <v/>
      </c>
      <c r="G84" s="6" t="str">
        <f t="shared" si="3"/>
        <v/>
      </c>
    </row>
    <row r="85" spans="4:7" x14ac:dyDescent="0.2">
      <c r="D85" s="31" t="str">
        <f>IF(LEN(TRIM(A85))=0,"",COUNTIFS(Students!E:E, A85))</f>
        <v/>
      </c>
      <c r="E85" s="31" t="str">
        <f>IF(LEN(TRIM(A85))=0,"",COUNTIFS(Students!E:E, A85, Students!D:D, "&gt;=0"))</f>
        <v/>
      </c>
      <c r="F85" s="31" t="str">
        <f t="shared" si="2"/>
        <v/>
      </c>
      <c r="G85" s="6" t="str">
        <f t="shared" si="3"/>
        <v/>
      </c>
    </row>
    <row r="86" spans="4:7" x14ac:dyDescent="0.2">
      <c r="D86" s="31" t="str">
        <f>IF(LEN(TRIM(A86))=0,"",COUNTIFS(Students!E:E, A86))</f>
        <v/>
      </c>
      <c r="E86" s="31" t="str">
        <f>IF(LEN(TRIM(A86))=0,"",COUNTIFS(Students!E:E, A86, Students!D:D, "&gt;=0"))</f>
        <v/>
      </c>
      <c r="F86" s="31" t="str">
        <f t="shared" si="2"/>
        <v/>
      </c>
      <c r="G86" s="6" t="str">
        <f t="shared" si="3"/>
        <v/>
      </c>
    </row>
    <row r="87" spans="4:7" x14ac:dyDescent="0.2">
      <c r="D87" s="31" t="str">
        <f>IF(LEN(TRIM(A87))=0,"",COUNTIFS(Students!E:E, A87))</f>
        <v/>
      </c>
      <c r="E87" s="31" t="str">
        <f>IF(LEN(TRIM(A87))=0,"",COUNTIFS(Students!E:E, A87, Students!D:D, "&gt;=0"))</f>
        <v/>
      </c>
      <c r="F87" s="31" t="str">
        <f t="shared" si="2"/>
        <v/>
      </c>
      <c r="G87" s="6" t="str">
        <f t="shared" si="3"/>
        <v/>
      </c>
    </row>
    <row r="88" spans="4:7" x14ac:dyDescent="0.2">
      <c r="D88" s="31" t="str">
        <f>IF(LEN(TRIM(A88))=0,"",COUNTIFS(Students!E:E, A88))</f>
        <v/>
      </c>
      <c r="E88" s="31" t="str">
        <f>IF(LEN(TRIM(A88))=0,"",COUNTIFS(Students!E:E, A88, Students!D:D, "&gt;=0"))</f>
        <v/>
      </c>
      <c r="F88" s="31" t="str">
        <f t="shared" si="2"/>
        <v/>
      </c>
      <c r="G88" s="6" t="str">
        <f t="shared" si="3"/>
        <v/>
      </c>
    </row>
    <row r="89" spans="4:7" x14ac:dyDescent="0.2">
      <c r="D89" s="31" t="str">
        <f>IF(LEN(TRIM(A89))=0,"",COUNTIFS(Students!E:E, A89))</f>
        <v/>
      </c>
      <c r="E89" s="31" t="str">
        <f>IF(LEN(TRIM(A89))=0,"",COUNTIFS(Students!E:E, A89, Students!D:D, "&gt;=0"))</f>
        <v/>
      </c>
      <c r="F89" s="31" t="str">
        <f t="shared" si="2"/>
        <v/>
      </c>
      <c r="G89" s="6" t="str">
        <f t="shared" si="3"/>
        <v/>
      </c>
    </row>
    <row r="90" spans="4:7" x14ac:dyDescent="0.2">
      <c r="D90" s="31" t="str">
        <f>IF(LEN(TRIM(A90))=0,"",COUNTIFS(Students!E:E, A90))</f>
        <v/>
      </c>
      <c r="E90" s="31" t="str">
        <f>IF(LEN(TRIM(A90))=0,"",COUNTIFS(Students!E:E, A90, Students!D:D, "&gt;=0"))</f>
        <v/>
      </c>
      <c r="F90" s="31" t="str">
        <f t="shared" si="2"/>
        <v/>
      </c>
      <c r="G90" s="6" t="str">
        <f t="shared" si="3"/>
        <v/>
      </c>
    </row>
    <row r="91" spans="4:7" x14ac:dyDescent="0.2">
      <c r="D91" s="31" t="str">
        <f>IF(LEN(TRIM(A91))=0,"",COUNTIFS(Students!E:E, A91))</f>
        <v/>
      </c>
      <c r="E91" s="31" t="str">
        <f>IF(LEN(TRIM(A91))=0,"",COUNTIFS(Students!E:E, A91, Students!D:D, "&gt;=0"))</f>
        <v/>
      </c>
      <c r="F91" s="31" t="str">
        <f t="shared" si="2"/>
        <v/>
      </c>
      <c r="G91" s="6" t="str">
        <f t="shared" si="3"/>
        <v/>
      </c>
    </row>
    <row r="92" spans="4:7" x14ac:dyDescent="0.2">
      <c r="D92" s="31" t="str">
        <f>IF(LEN(TRIM(A92))=0,"",COUNTIFS(Students!E:E, A92))</f>
        <v/>
      </c>
      <c r="E92" s="31" t="str">
        <f>IF(LEN(TRIM(A92))=0,"",COUNTIFS(Students!E:E, A92, Students!D:D, "&gt;=0"))</f>
        <v/>
      </c>
      <c r="F92" s="31" t="str">
        <f t="shared" si="2"/>
        <v/>
      </c>
      <c r="G92" s="6" t="str">
        <f t="shared" si="3"/>
        <v/>
      </c>
    </row>
    <row r="93" spans="4:7" x14ac:dyDescent="0.2">
      <c r="D93" s="31" t="str">
        <f>IF(LEN(TRIM(A93))=0,"",COUNTIFS(Students!E:E, A93))</f>
        <v/>
      </c>
      <c r="E93" s="31" t="str">
        <f>IF(LEN(TRIM(A93))=0,"",COUNTIFS(Students!E:E, A93, Students!D:D, "&gt;=0"))</f>
        <v/>
      </c>
      <c r="F93" s="31" t="str">
        <f t="shared" si="2"/>
        <v/>
      </c>
      <c r="G93" s="6" t="str">
        <f t="shared" si="3"/>
        <v/>
      </c>
    </row>
    <row r="94" spans="4:7" x14ac:dyDescent="0.2">
      <c r="D94" s="31" t="str">
        <f>IF(LEN(TRIM(A94))=0,"",COUNTIFS(Students!E:E, A94))</f>
        <v/>
      </c>
      <c r="E94" s="31" t="str">
        <f>IF(LEN(TRIM(A94))=0,"",COUNTIFS(Students!E:E, A94, Students!D:D, "&gt;=0"))</f>
        <v/>
      </c>
      <c r="F94" s="31" t="str">
        <f t="shared" si="2"/>
        <v/>
      </c>
      <c r="G94" s="6" t="str">
        <f t="shared" si="3"/>
        <v/>
      </c>
    </row>
    <row r="95" spans="4:7" x14ac:dyDescent="0.2">
      <c r="D95" s="31" t="str">
        <f>IF(LEN(TRIM(A95))=0,"",COUNTIFS(Students!E:E, A95))</f>
        <v/>
      </c>
      <c r="E95" s="31" t="str">
        <f>IF(LEN(TRIM(A95))=0,"",COUNTIFS(Students!E:E, A95, Students!D:D, "&gt;=0"))</f>
        <v/>
      </c>
      <c r="F95" s="31" t="str">
        <f t="shared" si="2"/>
        <v/>
      </c>
      <c r="G95" s="6" t="str">
        <f t="shared" si="3"/>
        <v/>
      </c>
    </row>
    <row r="96" spans="4:7" x14ac:dyDescent="0.2">
      <c r="D96" s="31" t="str">
        <f>IF(LEN(TRIM(A96))=0,"",COUNTIFS(Students!E:E, A96))</f>
        <v/>
      </c>
      <c r="E96" s="31" t="str">
        <f>IF(LEN(TRIM(A96))=0,"",COUNTIFS(Students!E:E, A96, Students!D:D, "&gt;=0"))</f>
        <v/>
      </c>
      <c r="F96" s="31" t="str">
        <f t="shared" si="2"/>
        <v/>
      </c>
      <c r="G96" s="6" t="str">
        <f t="shared" si="3"/>
        <v/>
      </c>
    </row>
    <row r="97" spans="4:7" x14ac:dyDescent="0.2">
      <c r="D97" s="31" t="str">
        <f>IF(LEN(TRIM(A97))=0,"",COUNTIFS(Students!E:E, A97))</f>
        <v/>
      </c>
      <c r="E97" s="31" t="str">
        <f>IF(LEN(TRIM(A97))=0,"",COUNTIFS(Students!E:E, A97, Students!D:D, "&gt;=0"))</f>
        <v/>
      </c>
      <c r="F97" s="31" t="str">
        <f t="shared" si="2"/>
        <v/>
      </c>
      <c r="G97" s="6" t="str">
        <f t="shared" si="3"/>
        <v/>
      </c>
    </row>
    <row r="98" spans="4:7" x14ac:dyDescent="0.2">
      <c r="D98" s="31" t="str">
        <f>IF(LEN(TRIM(A98))=0,"",COUNTIFS(Students!E:E, A98))</f>
        <v/>
      </c>
      <c r="E98" s="31" t="str">
        <f>IF(LEN(TRIM(A98))=0,"",COUNTIFS(Students!E:E, A98, Students!D:D, "&gt;=0"))</f>
        <v/>
      </c>
      <c r="F98" s="31" t="str">
        <f t="shared" si="2"/>
        <v/>
      </c>
      <c r="G98" s="6" t="str">
        <f t="shared" si="3"/>
        <v/>
      </c>
    </row>
    <row r="99" spans="4:7" x14ac:dyDescent="0.2">
      <c r="D99" s="31" t="str">
        <f>IF(LEN(TRIM(A99))=0,"",COUNTIFS(Students!E:E, A99))</f>
        <v/>
      </c>
      <c r="E99" s="31" t="str">
        <f>IF(LEN(TRIM(A99))=0,"",COUNTIFS(Students!E:E, A99, Students!D:D, "&gt;=0"))</f>
        <v/>
      </c>
      <c r="F99" s="31" t="str">
        <f t="shared" si="2"/>
        <v/>
      </c>
      <c r="G99" s="6" t="str">
        <f t="shared" si="3"/>
        <v/>
      </c>
    </row>
    <row r="100" spans="4:7" x14ac:dyDescent="0.2">
      <c r="D100" s="31" t="str">
        <f>IF(LEN(TRIM(A100))=0,"",COUNTIFS(Students!E:E, A100))</f>
        <v/>
      </c>
      <c r="E100" s="31" t="str">
        <f>IF(LEN(TRIM(A100))=0,"",COUNTIFS(Students!E:E, A100, Students!D:D, "&gt;=0"))</f>
        <v/>
      </c>
      <c r="F100" s="31" t="str">
        <f t="shared" si="2"/>
        <v/>
      </c>
      <c r="G100" s="6" t="str">
        <f t="shared" si="3"/>
        <v/>
      </c>
    </row>
    <row r="101" spans="4:7" x14ac:dyDescent="0.2">
      <c r="D101" s="31" t="str">
        <f>IF(LEN(TRIM(A101))=0,"",COUNTIFS(Students!E:E, A101))</f>
        <v/>
      </c>
      <c r="E101" s="31" t="str">
        <f>IF(LEN(TRIM(A101))=0,"",COUNTIFS(Students!E:E, A101, Students!D:D, "&gt;=0"))</f>
        <v/>
      </c>
      <c r="F101" s="31" t="str">
        <f t="shared" si="2"/>
        <v/>
      </c>
      <c r="G101" s="6" t="str">
        <f t="shared" si="3"/>
        <v/>
      </c>
    </row>
    <row r="102" spans="4:7" x14ac:dyDescent="0.2">
      <c r="D102" s="31" t="str">
        <f>IF(LEN(TRIM(A102))=0,"",COUNTIFS(Students!E:E, A102))</f>
        <v/>
      </c>
      <c r="E102" s="31" t="str">
        <f>IF(LEN(TRIM(A102))=0,"",COUNTIFS(Students!E:E, A102, Students!D:D, "&gt;=0"))</f>
        <v/>
      </c>
      <c r="F102" s="31" t="str">
        <f t="shared" si="2"/>
        <v/>
      </c>
      <c r="G102" s="6" t="str">
        <f t="shared" si="3"/>
        <v/>
      </c>
    </row>
    <row r="103" spans="4:7" x14ac:dyDescent="0.2">
      <c r="D103" s="31" t="str">
        <f>IF(LEN(TRIM(A103))=0,"",COUNTIFS(Students!E:E, A103))</f>
        <v/>
      </c>
      <c r="E103" s="31" t="str">
        <f>IF(LEN(TRIM(A103))=0,"",COUNTIFS(Students!E:E, A103, Students!D:D, "&gt;=0"))</f>
        <v/>
      </c>
      <c r="F103" s="31" t="str">
        <f t="shared" si="2"/>
        <v/>
      </c>
      <c r="G103" s="6" t="str">
        <f t="shared" si="3"/>
        <v/>
      </c>
    </row>
    <row r="104" spans="4:7" x14ac:dyDescent="0.2">
      <c r="D104" s="31" t="str">
        <f>IF(LEN(TRIM(A104))=0,"",COUNTIFS(Students!E:E, A104))</f>
        <v/>
      </c>
      <c r="E104" s="31" t="str">
        <f>IF(LEN(TRIM(A104))=0,"",COUNTIFS(Students!E:E, A104, Students!D:D, "&gt;=0"))</f>
        <v/>
      </c>
      <c r="F104" s="31" t="str">
        <f t="shared" si="2"/>
        <v/>
      </c>
      <c r="G104" s="6" t="str">
        <f t="shared" si="3"/>
        <v/>
      </c>
    </row>
    <row r="105" spans="4:7" x14ac:dyDescent="0.2">
      <c r="D105" s="31" t="str">
        <f>IF(LEN(TRIM(A105))=0,"",COUNTIFS(Students!E:E, A105))</f>
        <v/>
      </c>
      <c r="E105" s="31" t="str">
        <f>IF(LEN(TRIM(A105))=0,"",COUNTIFS(Students!E:E, A105, Students!D:D, "&gt;=0"))</f>
        <v/>
      </c>
      <c r="F105" s="31" t="str">
        <f t="shared" si="2"/>
        <v/>
      </c>
      <c r="G105" s="6" t="str">
        <f t="shared" si="3"/>
        <v/>
      </c>
    </row>
    <row r="106" spans="4:7" x14ac:dyDescent="0.2">
      <c r="D106" s="31" t="str">
        <f>IF(LEN(TRIM(A106))=0,"",COUNTIFS(Students!E:E, A106))</f>
        <v/>
      </c>
      <c r="E106" s="31" t="str">
        <f>IF(LEN(TRIM(A106))=0,"",COUNTIFS(Students!E:E, A106, Students!D:D, "&gt;=0"))</f>
        <v/>
      </c>
      <c r="F106" s="31" t="str">
        <f t="shared" si="2"/>
        <v/>
      </c>
      <c r="G106" s="6" t="str">
        <f t="shared" si="3"/>
        <v/>
      </c>
    </row>
    <row r="107" spans="4:7" x14ac:dyDescent="0.2">
      <c r="D107" s="31" t="str">
        <f>IF(LEN(TRIM(A107))=0,"",COUNTIFS(Students!E:E, A107))</f>
        <v/>
      </c>
      <c r="E107" s="31" t="str">
        <f>IF(LEN(TRIM(A107))=0,"",COUNTIFS(Students!E:E, A107, Students!D:D, "&gt;=0"))</f>
        <v/>
      </c>
      <c r="F107" s="31" t="str">
        <f t="shared" si="2"/>
        <v/>
      </c>
      <c r="G107" s="6" t="str">
        <f t="shared" si="3"/>
        <v/>
      </c>
    </row>
    <row r="108" spans="4:7" x14ac:dyDescent="0.2">
      <c r="D108" s="31" t="str">
        <f>IF(LEN(TRIM(A108))=0,"",COUNTIFS(Students!E:E, A108))</f>
        <v/>
      </c>
      <c r="E108" s="31" t="str">
        <f>IF(LEN(TRIM(A108))=0,"",COUNTIFS(Students!E:E, A108, Students!D:D, "&gt;=0"))</f>
        <v/>
      </c>
      <c r="F108" s="31" t="str">
        <f t="shared" si="2"/>
        <v/>
      </c>
      <c r="G108" s="6" t="str">
        <f t="shared" si="3"/>
        <v/>
      </c>
    </row>
    <row r="109" spans="4:7" x14ac:dyDescent="0.2">
      <c r="D109" s="31" t="str">
        <f>IF(LEN(TRIM(A109))=0,"",COUNTIFS(Students!E:E, A109))</f>
        <v/>
      </c>
      <c r="E109" s="31" t="str">
        <f>IF(LEN(TRIM(A109))=0,"",COUNTIFS(Students!E:E, A109, Students!D:D, "&gt;=0"))</f>
        <v/>
      </c>
      <c r="F109" s="31" t="str">
        <f t="shared" si="2"/>
        <v/>
      </c>
      <c r="G109" s="6" t="str">
        <f t="shared" si="3"/>
        <v/>
      </c>
    </row>
    <row r="110" spans="4:7" x14ac:dyDescent="0.2">
      <c r="D110" s="31" t="str">
        <f>IF(LEN(TRIM(A110))=0,"",COUNTIFS(Students!E:E, A110))</f>
        <v/>
      </c>
      <c r="E110" s="31" t="str">
        <f>IF(LEN(TRIM(A110))=0,"",COUNTIFS(Students!E:E, A110, Students!D:D, "&gt;=0"))</f>
        <v/>
      </c>
      <c r="F110" s="31" t="str">
        <f t="shared" si="2"/>
        <v/>
      </c>
      <c r="G110" s="6" t="str">
        <f t="shared" si="3"/>
        <v/>
      </c>
    </row>
    <row r="111" spans="4:7" x14ac:dyDescent="0.2">
      <c r="D111" s="31" t="str">
        <f>IF(LEN(TRIM(A111))=0,"",COUNTIFS(Students!E:E, A111))</f>
        <v/>
      </c>
      <c r="E111" s="31" t="str">
        <f>IF(LEN(TRIM(A111))=0,"",COUNTIFS(Students!E:E, A111, Students!D:D, "&gt;=0"))</f>
        <v/>
      </c>
      <c r="F111" s="31" t="str">
        <f t="shared" si="2"/>
        <v/>
      </c>
      <c r="G111" s="6" t="str">
        <f t="shared" si="3"/>
        <v/>
      </c>
    </row>
    <row r="112" spans="4:7" x14ac:dyDescent="0.2">
      <c r="D112" s="31" t="str">
        <f>IF(LEN(TRIM(A112))=0,"",COUNTIFS(Students!E:E, A112))</f>
        <v/>
      </c>
      <c r="E112" s="31" t="str">
        <f>IF(LEN(TRIM(A112))=0,"",COUNTIFS(Students!E:E, A112, Students!D:D, "&gt;=0"))</f>
        <v/>
      </c>
      <c r="F112" s="31" t="str">
        <f t="shared" si="2"/>
        <v/>
      </c>
      <c r="G112" s="6" t="str">
        <f t="shared" si="3"/>
        <v/>
      </c>
    </row>
    <row r="113" spans="4:7" x14ac:dyDescent="0.2">
      <c r="D113" s="31" t="str">
        <f>IF(LEN(TRIM(A113))=0,"",COUNTIFS(Students!E:E, A113))</f>
        <v/>
      </c>
      <c r="E113" s="31" t="str">
        <f>IF(LEN(TRIM(A113))=0,"",COUNTIFS(Students!E:E, A113, Students!D:D, "&gt;=0"))</f>
        <v/>
      </c>
      <c r="F113" s="31" t="str">
        <f t="shared" si="2"/>
        <v/>
      </c>
      <c r="G113" s="6" t="str">
        <f t="shared" si="3"/>
        <v/>
      </c>
    </row>
    <row r="114" spans="4:7" x14ac:dyDescent="0.2">
      <c r="D114" s="31" t="str">
        <f>IF(LEN(TRIM(A114))=0,"",COUNTIFS(Students!E:E, A114))</f>
        <v/>
      </c>
      <c r="E114" s="31" t="str">
        <f>IF(LEN(TRIM(A114))=0,"",COUNTIFS(Students!E:E, A114, Students!D:D, "&gt;=0"))</f>
        <v/>
      </c>
      <c r="F114" s="31" t="str">
        <f t="shared" si="2"/>
        <v/>
      </c>
      <c r="G114" s="6" t="str">
        <f t="shared" si="3"/>
        <v/>
      </c>
    </row>
    <row r="115" spans="4:7" x14ac:dyDescent="0.2">
      <c r="D115" s="31" t="str">
        <f>IF(LEN(TRIM(A115))=0,"",COUNTIFS(Students!E:E, A115))</f>
        <v/>
      </c>
      <c r="E115" s="31" t="str">
        <f>IF(LEN(TRIM(A115))=0,"",COUNTIFS(Students!E:E, A115, Students!D:D, "&gt;=0"))</f>
        <v/>
      </c>
      <c r="F115" s="31" t="str">
        <f t="shared" si="2"/>
        <v/>
      </c>
      <c r="G115" s="6" t="str">
        <f t="shared" si="3"/>
        <v/>
      </c>
    </row>
    <row r="116" spans="4:7" x14ac:dyDescent="0.2">
      <c r="D116" s="31" t="str">
        <f>IF(LEN(TRIM(A116))=0,"",COUNTIFS(Students!E:E, A116))</f>
        <v/>
      </c>
      <c r="E116" s="31" t="str">
        <f>IF(LEN(TRIM(A116))=0,"",COUNTIFS(Students!E:E, A116, Students!D:D, "&gt;=0"))</f>
        <v/>
      </c>
      <c r="F116" s="31" t="str">
        <f t="shared" si="2"/>
        <v/>
      </c>
      <c r="G116" s="6" t="str">
        <f t="shared" si="3"/>
        <v/>
      </c>
    </row>
    <row r="117" spans="4:7" x14ac:dyDescent="0.2">
      <c r="D117" s="31" t="str">
        <f>IF(LEN(TRIM(A117))=0,"",COUNTIFS(Students!E:E, A117))</f>
        <v/>
      </c>
      <c r="E117" s="31" t="str">
        <f>IF(LEN(TRIM(A117))=0,"",COUNTIFS(Students!E:E, A117, Students!D:D, "&gt;=0"))</f>
        <v/>
      </c>
      <c r="F117" s="31" t="str">
        <f t="shared" si="2"/>
        <v/>
      </c>
      <c r="G117" s="6" t="str">
        <f t="shared" si="3"/>
        <v/>
      </c>
    </row>
    <row r="118" spans="4:7" x14ac:dyDescent="0.2">
      <c r="D118" s="31" t="str">
        <f>IF(LEN(TRIM(A118))=0,"",COUNTIFS(Students!E:E, A118))</f>
        <v/>
      </c>
      <c r="E118" s="31" t="str">
        <f>IF(LEN(TRIM(A118))=0,"",COUNTIFS(Students!E:E, A118, Students!D:D, "&gt;=0"))</f>
        <v/>
      </c>
      <c r="F118" s="31" t="str">
        <f t="shared" si="2"/>
        <v/>
      </c>
      <c r="G118" s="6" t="str">
        <f t="shared" si="3"/>
        <v/>
      </c>
    </row>
    <row r="119" spans="4:7" x14ac:dyDescent="0.2">
      <c r="D119" s="31" t="str">
        <f>IF(LEN(TRIM(A119))=0,"",COUNTIFS(Students!E:E, A119))</f>
        <v/>
      </c>
      <c r="E119" s="31" t="str">
        <f>IF(LEN(TRIM(A119))=0,"",COUNTIFS(Students!E:E, A119, Students!D:D, "&gt;=0"))</f>
        <v/>
      </c>
      <c r="F119" s="31" t="str">
        <f t="shared" si="2"/>
        <v/>
      </c>
      <c r="G119" s="6" t="str">
        <f t="shared" si="3"/>
        <v/>
      </c>
    </row>
    <row r="120" spans="4:7" x14ac:dyDescent="0.2">
      <c r="D120" s="31" t="str">
        <f>IF(LEN(TRIM(A120))=0,"",COUNTIFS(Students!E:E, A120))</f>
        <v/>
      </c>
      <c r="E120" s="31" t="str">
        <f>IF(LEN(TRIM(A120))=0,"",COUNTIFS(Students!E:E, A120, Students!D:D, "&gt;=0"))</f>
        <v/>
      </c>
      <c r="F120" s="31" t="str">
        <f t="shared" si="2"/>
        <v/>
      </c>
      <c r="G120" s="6" t="str">
        <f t="shared" si="3"/>
        <v/>
      </c>
    </row>
    <row r="121" spans="4:7" x14ac:dyDescent="0.2">
      <c r="D121" s="31" t="str">
        <f>IF(LEN(TRIM(A121))=0,"",COUNTIFS(Students!E:E, A121))</f>
        <v/>
      </c>
      <c r="E121" s="31" t="str">
        <f>IF(LEN(TRIM(A121))=0,"",COUNTIFS(Students!E:E, A121, Students!D:D, "&gt;=0"))</f>
        <v/>
      </c>
      <c r="F121" s="31" t="str">
        <f t="shared" si="2"/>
        <v/>
      </c>
      <c r="G121" s="6" t="str">
        <f t="shared" si="3"/>
        <v/>
      </c>
    </row>
    <row r="122" spans="4:7" x14ac:dyDescent="0.2">
      <c r="D122" s="31" t="str">
        <f>IF(LEN(TRIM(A122))=0,"",COUNTIFS(Students!E:E, A122))</f>
        <v/>
      </c>
      <c r="E122" s="31" t="str">
        <f>IF(LEN(TRIM(A122))=0,"",COUNTIFS(Students!E:E, A122, Students!D:D, "&gt;=0"))</f>
        <v/>
      </c>
      <c r="F122" s="31" t="str">
        <f t="shared" si="2"/>
        <v/>
      </c>
      <c r="G122" s="6" t="str">
        <f t="shared" si="3"/>
        <v/>
      </c>
    </row>
    <row r="123" spans="4:7" x14ac:dyDescent="0.2">
      <c r="D123" s="31" t="str">
        <f>IF(LEN(TRIM(A123))=0,"",COUNTIFS(Students!E:E, A123))</f>
        <v/>
      </c>
      <c r="E123" s="31" t="str">
        <f>IF(LEN(TRIM(A123))=0,"",COUNTIFS(Students!E:E, A123, Students!D:D, "&gt;=0"))</f>
        <v/>
      </c>
      <c r="F123" s="31" t="str">
        <f t="shared" si="2"/>
        <v/>
      </c>
      <c r="G123" s="6" t="str">
        <f t="shared" si="3"/>
        <v/>
      </c>
    </row>
    <row r="124" spans="4:7" x14ac:dyDescent="0.2">
      <c r="D124" s="31" t="str">
        <f>IF(LEN(TRIM(A124))=0,"",COUNTIFS(Students!E:E, A124))</f>
        <v/>
      </c>
      <c r="E124" s="31" t="str">
        <f>IF(LEN(TRIM(A124))=0,"",COUNTIFS(Students!E:E, A124, Students!D:D, "&gt;=0"))</f>
        <v/>
      </c>
      <c r="F124" s="31" t="str">
        <f t="shared" si="2"/>
        <v/>
      </c>
      <c r="G124" s="6" t="str">
        <f t="shared" si="3"/>
        <v/>
      </c>
    </row>
    <row r="125" spans="4:7" x14ac:dyDescent="0.2">
      <c r="D125" s="31" t="str">
        <f>IF(LEN(TRIM(A125))=0,"",COUNTIFS(Students!E:E, A125))</f>
        <v/>
      </c>
      <c r="E125" s="31" t="str">
        <f>IF(LEN(TRIM(A125))=0,"",COUNTIFS(Students!E:E, A125, Students!D:D, "&gt;=0"))</f>
        <v/>
      </c>
      <c r="F125" s="31" t="str">
        <f t="shared" si="2"/>
        <v/>
      </c>
      <c r="G125" s="6" t="str">
        <f t="shared" si="3"/>
        <v/>
      </c>
    </row>
    <row r="126" spans="4:7" x14ac:dyDescent="0.2">
      <c r="D126" s="31" t="str">
        <f>IF(LEN(TRIM(A126))=0,"",COUNTIFS(Students!E:E, A126))</f>
        <v/>
      </c>
      <c r="E126" s="31" t="str">
        <f>IF(LEN(TRIM(A126))=0,"",COUNTIFS(Students!E:E, A126, Students!D:D, "&gt;=0"))</f>
        <v/>
      </c>
      <c r="F126" s="31" t="str">
        <f t="shared" si="2"/>
        <v/>
      </c>
      <c r="G126" s="6" t="str">
        <f t="shared" si="3"/>
        <v/>
      </c>
    </row>
    <row r="127" spans="4:7" x14ac:dyDescent="0.2">
      <c r="D127" s="31" t="str">
        <f>IF(LEN(TRIM(A127))=0,"",COUNTIFS(Students!E:E, A127))</f>
        <v/>
      </c>
      <c r="E127" s="31" t="str">
        <f>IF(LEN(TRIM(A127))=0,"",COUNTIFS(Students!E:E, A127, Students!D:D, "&gt;=0"))</f>
        <v/>
      </c>
      <c r="F127" s="31" t="str">
        <f t="shared" si="2"/>
        <v/>
      </c>
      <c r="G127" s="6" t="str">
        <f t="shared" si="3"/>
        <v/>
      </c>
    </row>
    <row r="128" spans="4:7" x14ac:dyDescent="0.2">
      <c r="D128" s="31" t="str">
        <f>IF(LEN(TRIM(A128))=0,"",COUNTIFS(Students!E:E, A128))</f>
        <v/>
      </c>
      <c r="E128" s="31" t="str">
        <f>IF(LEN(TRIM(A128))=0,"",COUNTIFS(Students!E:E, A128, Students!D:D, "&gt;=0"))</f>
        <v/>
      </c>
      <c r="F128" s="31" t="str">
        <f t="shared" si="2"/>
        <v/>
      </c>
      <c r="G128" s="6" t="str">
        <f t="shared" si="3"/>
        <v/>
      </c>
    </row>
    <row r="129" spans="4:7" x14ac:dyDescent="0.2">
      <c r="D129" s="31" t="str">
        <f>IF(LEN(TRIM(A129))=0,"",COUNTIFS(Students!E:E, A129))</f>
        <v/>
      </c>
      <c r="E129" s="31" t="str">
        <f>IF(LEN(TRIM(A129))=0,"",COUNTIFS(Students!E:E, A129, Students!D:D, "&gt;=0"))</f>
        <v/>
      </c>
      <c r="F129" s="31" t="str">
        <f t="shared" si="2"/>
        <v/>
      </c>
      <c r="G129" s="6" t="str">
        <f t="shared" si="3"/>
        <v/>
      </c>
    </row>
    <row r="130" spans="4:7" x14ac:dyDescent="0.2">
      <c r="D130" s="31" t="str">
        <f>IF(LEN(TRIM(A130))=0,"",COUNTIFS(Students!E:E, A130))</f>
        <v/>
      </c>
      <c r="E130" s="31" t="str">
        <f>IF(LEN(TRIM(A130))=0,"",COUNTIFS(Students!E:E, A130, Students!D:D, "&gt;=0"))</f>
        <v/>
      </c>
      <c r="F130" s="31" t="str">
        <f t="shared" si="2"/>
        <v/>
      </c>
      <c r="G130" s="6" t="str">
        <f t="shared" si="3"/>
        <v/>
      </c>
    </row>
    <row r="131" spans="4:7" x14ac:dyDescent="0.2">
      <c r="D131" s="31" t="str">
        <f>IF(LEN(TRIM(A131))=0,"",COUNTIFS(Students!E:E, A131))</f>
        <v/>
      </c>
      <c r="E131" s="31" t="str">
        <f>IF(LEN(TRIM(A131))=0,"",COUNTIFS(Students!E:E, A131, Students!D:D, "&gt;=0"))</f>
        <v/>
      </c>
      <c r="F131" s="31" t="str">
        <f t="shared" ref="F131:F194" si="4">IFERROR(D131-E131,"")</f>
        <v/>
      </c>
      <c r="G131" s="6" t="str">
        <f t="shared" ref="G131:G194" si="5">IFERROR(IF(D131=0, "N/A", E131/D131),"")</f>
        <v/>
      </c>
    </row>
    <row r="132" spans="4:7" x14ac:dyDescent="0.2">
      <c r="D132" s="31" t="str">
        <f>IF(LEN(TRIM(A132))=0,"",COUNTIFS(Students!E:E, A132))</f>
        <v/>
      </c>
      <c r="E132" s="31" t="str">
        <f>IF(LEN(TRIM(A132))=0,"",COUNTIFS(Students!E:E, A132, Students!D:D, "&gt;=0"))</f>
        <v/>
      </c>
      <c r="F132" s="31" t="str">
        <f t="shared" si="4"/>
        <v/>
      </c>
      <c r="G132" s="6" t="str">
        <f t="shared" si="5"/>
        <v/>
      </c>
    </row>
    <row r="133" spans="4:7" x14ac:dyDescent="0.2">
      <c r="D133" s="31" t="str">
        <f>IF(LEN(TRIM(A133))=0,"",COUNTIFS(Students!E:E, A133))</f>
        <v/>
      </c>
      <c r="E133" s="31" t="str">
        <f>IF(LEN(TRIM(A133))=0,"",COUNTIFS(Students!E:E, A133, Students!D:D, "&gt;=0"))</f>
        <v/>
      </c>
      <c r="F133" s="31" t="str">
        <f t="shared" si="4"/>
        <v/>
      </c>
      <c r="G133" s="6" t="str">
        <f t="shared" si="5"/>
        <v/>
      </c>
    </row>
    <row r="134" spans="4:7" x14ac:dyDescent="0.2">
      <c r="D134" s="31" t="str">
        <f>IF(LEN(TRIM(A134))=0,"",COUNTIFS(Students!E:E, A134))</f>
        <v/>
      </c>
      <c r="E134" s="31" t="str">
        <f>IF(LEN(TRIM(A134))=0,"",COUNTIFS(Students!E:E, A134, Students!D:D, "&gt;=0"))</f>
        <v/>
      </c>
      <c r="F134" s="31" t="str">
        <f t="shared" si="4"/>
        <v/>
      </c>
      <c r="G134" s="6" t="str">
        <f t="shared" si="5"/>
        <v/>
      </c>
    </row>
    <row r="135" spans="4:7" x14ac:dyDescent="0.2">
      <c r="D135" s="31" t="str">
        <f>IF(LEN(TRIM(A135))=0,"",COUNTIFS(Students!E:E, A135))</f>
        <v/>
      </c>
      <c r="E135" s="31" t="str">
        <f>IF(LEN(TRIM(A135))=0,"",COUNTIFS(Students!E:E, A135, Students!D:D, "&gt;=0"))</f>
        <v/>
      </c>
      <c r="F135" s="31" t="str">
        <f t="shared" si="4"/>
        <v/>
      </c>
      <c r="G135" s="6" t="str">
        <f t="shared" si="5"/>
        <v/>
      </c>
    </row>
    <row r="136" spans="4:7" x14ac:dyDescent="0.2">
      <c r="D136" s="31" t="str">
        <f>IF(LEN(TRIM(A136))=0,"",COUNTIFS(Students!E:E, A136))</f>
        <v/>
      </c>
      <c r="E136" s="31" t="str">
        <f>IF(LEN(TRIM(A136))=0,"",COUNTIFS(Students!E:E, A136, Students!D:D, "&gt;=0"))</f>
        <v/>
      </c>
      <c r="F136" s="31" t="str">
        <f t="shared" si="4"/>
        <v/>
      </c>
      <c r="G136" s="6" t="str">
        <f t="shared" si="5"/>
        <v/>
      </c>
    </row>
    <row r="137" spans="4:7" x14ac:dyDescent="0.2">
      <c r="D137" s="31" t="str">
        <f>IF(LEN(TRIM(A137))=0,"",COUNTIFS(Students!E:E, A137))</f>
        <v/>
      </c>
      <c r="E137" s="31" t="str">
        <f>IF(LEN(TRIM(A137))=0,"",COUNTIFS(Students!E:E, A137, Students!D:D, "&gt;=0"))</f>
        <v/>
      </c>
      <c r="F137" s="31" t="str">
        <f t="shared" si="4"/>
        <v/>
      </c>
      <c r="G137" s="6" t="str">
        <f t="shared" si="5"/>
        <v/>
      </c>
    </row>
    <row r="138" spans="4:7" x14ac:dyDescent="0.2">
      <c r="D138" s="31" t="str">
        <f>IF(LEN(TRIM(A138))=0,"",COUNTIFS(Students!E:E, A138))</f>
        <v/>
      </c>
      <c r="E138" s="31" t="str">
        <f>IF(LEN(TRIM(A138))=0,"",COUNTIFS(Students!E:E, A138, Students!D:D, "&gt;=0"))</f>
        <v/>
      </c>
      <c r="F138" s="31" t="str">
        <f t="shared" si="4"/>
        <v/>
      </c>
      <c r="G138" s="6" t="str">
        <f t="shared" si="5"/>
        <v/>
      </c>
    </row>
    <row r="139" spans="4:7" x14ac:dyDescent="0.2">
      <c r="D139" s="31" t="str">
        <f>IF(LEN(TRIM(A139))=0,"",COUNTIFS(Students!E:E, A139))</f>
        <v/>
      </c>
      <c r="E139" s="31" t="str">
        <f>IF(LEN(TRIM(A139))=0,"",COUNTIFS(Students!E:E, A139, Students!D:D, "&gt;=0"))</f>
        <v/>
      </c>
      <c r="F139" s="31" t="str">
        <f t="shared" si="4"/>
        <v/>
      </c>
      <c r="G139" s="6" t="str">
        <f t="shared" si="5"/>
        <v/>
      </c>
    </row>
    <row r="140" spans="4:7" x14ac:dyDescent="0.2">
      <c r="D140" s="31" t="str">
        <f>IF(LEN(TRIM(A140))=0,"",COUNTIFS(Students!E:E, A140))</f>
        <v/>
      </c>
      <c r="E140" s="31" t="str">
        <f>IF(LEN(TRIM(A140))=0,"",COUNTIFS(Students!E:E, A140, Students!D:D, "&gt;=0"))</f>
        <v/>
      </c>
      <c r="F140" s="31" t="str">
        <f t="shared" si="4"/>
        <v/>
      </c>
      <c r="G140" s="6" t="str">
        <f t="shared" si="5"/>
        <v/>
      </c>
    </row>
    <row r="141" spans="4:7" x14ac:dyDescent="0.2">
      <c r="D141" s="31" t="str">
        <f>IF(LEN(TRIM(A141))=0,"",COUNTIFS(Students!E:E, A141))</f>
        <v/>
      </c>
      <c r="E141" s="31" t="str">
        <f>IF(LEN(TRIM(A141))=0,"",COUNTIFS(Students!E:E, A141, Students!D:D, "&gt;=0"))</f>
        <v/>
      </c>
      <c r="F141" s="31" t="str">
        <f t="shared" si="4"/>
        <v/>
      </c>
      <c r="G141" s="6" t="str">
        <f t="shared" si="5"/>
        <v/>
      </c>
    </row>
    <row r="142" spans="4:7" x14ac:dyDescent="0.2">
      <c r="D142" s="31" t="str">
        <f>IF(LEN(TRIM(A142))=0,"",COUNTIFS(Students!E:E, A142))</f>
        <v/>
      </c>
      <c r="E142" s="31" t="str">
        <f>IF(LEN(TRIM(A142))=0,"",COUNTIFS(Students!E:E, A142, Students!D:D, "&gt;=0"))</f>
        <v/>
      </c>
      <c r="F142" s="31" t="str">
        <f t="shared" si="4"/>
        <v/>
      </c>
      <c r="G142" s="6" t="str">
        <f t="shared" si="5"/>
        <v/>
      </c>
    </row>
    <row r="143" spans="4:7" x14ac:dyDescent="0.2">
      <c r="D143" s="31" t="str">
        <f>IF(LEN(TRIM(A143))=0,"",COUNTIFS(Students!E:E, A143))</f>
        <v/>
      </c>
      <c r="E143" s="31" t="str">
        <f>IF(LEN(TRIM(A143))=0,"",COUNTIFS(Students!E:E, A143, Students!D:D, "&gt;=0"))</f>
        <v/>
      </c>
      <c r="F143" s="31" t="str">
        <f t="shared" si="4"/>
        <v/>
      </c>
      <c r="G143" s="6" t="str">
        <f t="shared" si="5"/>
        <v/>
      </c>
    </row>
    <row r="144" spans="4:7" x14ac:dyDescent="0.2">
      <c r="D144" s="31" t="str">
        <f>IF(LEN(TRIM(A144))=0,"",COUNTIFS(Students!E:E, A144))</f>
        <v/>
      </c>
      <c r="E144" s="31" t="str">
        <f>IF(LEN(TRIM(A144))=0,"",COUNTIFS(Students!E:E, A144, Students!D:D, "&gt;=0"))</f>
        <v/>
      </c>
      <c r="F144" s="31" t="str">
        <f t="shared" si="4"/>
        <v/>
      </c>
      <c r="G144" s="6" t="str">
        <f t="shared" si="5"/>
        <v/>
      </c>
    </row>
    <row r="145" spans="4:7" x14ac:dyDescent="0.2">
      <c r="D145" s="31" t="str">
        <f>IF(LEN(TRIM(A145))=0,"",COUNTIFS(Students!E:E, A145))</f>
        <v/>
      </c>
      <c r="E145" s="31" t="str">
        <f>IF(LEN(TRIM(A145))=0,"",COUNTIFS(Students!E:E, A145, Students!D:D, "&gt;=0"))</f>
        <v/>
      </c>
      <c r="F145" s="31" t="str">
        <f t="shared" si="4"/>
        <v/>
      </c>
      <c r="G145" s="6" t="str">
        <f t="shared" si="5"/>
        <v/>
      </c>
    </row>
    <row r="146" spans="4:7" x14ac:dyDescent="0.2">
      <c r="D146" s="31" t="str">
        <f>IF(LEN(TRIM(A146))=0,"",COUNTIFS(Students!E:E, A146))</f>
        <v/>
      </c>
      <c r="E146" s="31" t="str">
        <f>IF(LEN(TRIM(A146))=0,"",COUNTIFS(Students!E:E, A146, Students!D:D, "&gt;=0"))</f>
        <v/>
      </c>
      <c r="F146" s="31" t="str">
        <f t="shared" si="4"/>
        <v/>
      </c>
      <c r="G146" s="6" t="str">
        <f t="shared" si="5"/>
        <v/>
      </c>
    </row>
    <row r="147" spans="4:7" x14ac:dyDescent="0.2">
      <c r="D147" s="31" t="str">
        <f>IF(LEN(TRIM(A147))=0,"",COUNTIFS(Students!E:E, A147))</f>
        <v/>
      </c>
      <c r="E147" s="31" t="str">
        <f>IF(LEN(TRIM(A147))=0,"",COUNTIFS(Students!E:E, A147, Students!D:D, "&gt;=0"))</f>
        <v/>
      </c>
      <c r="F147" s="31" t="str">
        <f t="shared" si="4"/>
        <v/>
      </c>
      <c r="G147" s="6" t="str">
        <f t="shared" si="5"/>
        <v/>
      </c>
    </row>
    <row r="148" spans="4:7" x14ac:dyDescent="0.2">
      <c r="D148" s="31" t="str">
        <f>IF(LEN(TRIM(A148))=0,"",COUNTIFS(Students!E:E, A148))</f>
        <v/>
      </c>
      <c r="E148" s="31" t="str">
        <f>IF(LEN(TRIM(A148))=0,"",COUNTIFS(Students!E:E, A148, Students!D:D, "&gt;=0"))</f>
        <v/>
      </c>
      <c r="F148" s="31" t="str">
        <f t="shared" si="4"/>
        <v/>
      </c>
      <c r="G148" s="6" t="str">
        <f t="shared" si="5"/>
        <v/>
      </c>
    </row>
    <row r="149" spans="4:7" x14ac:dyDescent="0.2">
      <c r="D149" s="31" t="str">
        <f>IF(LEN(TRIM(A149))=0,"",COUNTIFS(Students!E:E, A149))</f>
        <v/>
      </c>
      <c r="E149" s="31" t="str">
        <f>IF(LEN(TRIM(A149))=0,"",COUNTIFS(Students!E:E, A149, Students!D:D, "&gt;=0"))</f>
        <v/>
      </c>
      <c r="F149" s="31" t="str">
        <f t="shared" si="4"/>
        <v/>
      </c>
      <c r="G149" s="6" t="str">
        <f t="shared" si="5"/>
        <v/>
      </c>
    </row>
    <row r="150" spans="4:7" x14ac:dyDescent="0.2">
      <c r="D150" s="31" t="str">
        <f>IF(LEN(TRIM(A150))=0,"",COUNTIFS(Students!E:E, A150))</f>
        <v/>
      </c>
      <c r="E150" s="31" t="str">
        <f>IF(LEN(TRIM(A150))=0,"",COUNTIFS(Students!E:E, A150, Students!D:D, "&gt;=0"))</f>
        <v/>
      </c>
      <c r="F150" s="31" t="str">
        <f t="shared" si="4"/>
        <v/>
      </c>
      <c r="G150" s="6" t="str">
        <f t="shared" si="5"/>
        <v/>
      </c>
    </row>
    <row r="151" spans="4:7" x14ac:dyDescent="0.2">
      <c r="D151" s="31" t="str">
        <f>IF(LEN(TRIM(A151))=0,"",COUNTIFS(Students!E:E, A151))</f>
        <v/>
      </c>
      <c r="E151" s="31" t="str">
        <f>IF(LEN(TRIM(A151))=0,"",COUNTIFS(Students!E:E, A151, Students!D:D, "&gt;=0"))</f>
        <v/>
      </c>
      <c r="F151" s="31" t="str">
        <f t="shared" si="4"/>
        <v/>
      </c>
      <c r="G151" s="6" t="str">
        <f t="shared" si="5"/>
        <v/>
      </c>
    </row>
    <row r="152" spans="4:7" x14ac:dyDescent="0.2">
      <c r="D152" s="31" t="str">
        <f>IF(LEN(TRIM(A152))=0,"",COUNTIFS(Students!E:E, A152))</f>
        <v/>
      </c>
      <c r="E152" s="31" t="str">
        <f>IF(LEN(TRIM(A152))=0,"",COUNTIFS(Students!E:E, A152, Students!D:D, "&gt;=0"))</f>
        <v/>
      </c>
      <c r="F152" s="31" t="str">
        <f t="shared" si="4"/>
        <v/>
      </c>
      <c r="G152" s="6" t="str">
        <f t="shared" si="5"/>
        <v/>
      </c>
    </row>
    <row r="153" spans="4:7" x14ac:dyDescent="0.2">
      <c r="D153" s="31" t="str">
        <f>IF(LEN(TRIM(A153))=0,"",COUNTIFS(Students!E:E, A153))</f>
        <v/>
      </c>
      <c r="E153" s="31" t="str">
        <f>IF(LEN(TRIM(A153))=0,"",COUNTIFS(Students!E:E, A153, Students!D:D, "&gt;=0"))</f>
        <v/>
      </c>
      <c r="F153" s="31" t="str">
        <f t="shared" si="4"/>
        <v/>
      </c>
      <c r="G153" s="6" t="str">
        <f t="shared" si="5"/>
        <v/>
      </c>
    </row>
    <row r="154" spans="4:7" x14ac:dyDescent="0.2">
      <c r="D154" s="31" t="str">
        <f>IF(LEN(TRIM(A154))=0,"",COUNTIFS(Students!E:E, A154))</f>
        <v/>
      </c>
      <c r="E154" s="31" t="str">
        <f>IF(LEN(TRIM(A154))=0,"",COUNTIFS(Students!E:E, A154, Students!D:D, "&gt;=0"))</f>
        <v/>
      </c>
      <c r="F154" s="31" t="str">
        <f t="shared" si="4"/>
        <v/>
      </c>
      <c r="G154" s="6" t="str">
        <f t="shared" si="5"/>
        <v/>
      </c>
    </row>
    <row r="155" spans="4:7" x14ac:dyDescent="0.2">
      <c r="D155" s="31" t="str">
        <f>IF(LEN(TRIM(A155))=0,"",COUNTIFS(Students!E:E, A155))</f>
        <v/>
      </c>
      <c r="E155" s="31" t="str">
        <f>IF(LEN(TRIM(A155))=0,"",COUNTIFS(Students!E:E, A155, Students!D:D, "&gt;=0"))</f>
        <v/>
      </c>
      <c r="F155" s="31" t="str">
        <f t="shared" si="4"/>
        <v/>
      </c>
      <c r="G155" s="6" t="str">
        <f t="shared" si="5"/>
        <v/>
      </c>
    </row>
    <row r="156" spans="4:7" x14ac:dyDescent="0.2">
      <c r="D156" s="31" t="str">
        <f>IF(LEN(TRIM(A156))=0,"",COUNTIFS(Students!E:E, A156))</f>
        <v/>
      </c>
      <c r="E156" s="31" t="str">
        <f>IF(LEN(TRIM(A156))=0,"",COUNTIFS(Students!E:E, A156, Students!D:D, "&gt;=0"))</f>
        <v/>
      </c>
      <c r="F156" s="31" t="str">
        <f t="shared" si="4"/>
        <v/>
      </c>
      <c r="G156" s="6" t="str">
        <f t="shared" si="5"/>
        <v/>
      </c>
    </row>
    <row r="157" spans="4:7" x14ac:dyDescent="0.2">
      <c r="D157" s="31" t="str">
        <f>IF(LEN(TRIM(A157))=0,"",COUNTIFS(Students!E:E, A157))</f>
        <v/>
      </c>
      <c r="E157" s="31" t="str">
        <f>IF(LEN(TRIM(A157))=0,"",COUNTIFS(Students!E:E, A157, Students!D:D, "&gt;=0"))</f>
        <v/>
      </c>
      <c r="F157" s="31" t="str">
        <f t="shared" si="4"/>
        <v/>
      </c>
      <c r="G157" s="6" t="str">
        <f t="shared" si="5"/>
        <v/>
      </c>
    </row>
    <row r="158" spans="4:7" x14ac:dyDescent="0.2">
      <c r="D158" s="31" t="str">
        <f>IF(LEN(TRIM(A158))=0,"",COUNTIFS(Students!E:E, A158))</f>
        <v/>
      </c>
      <c r="E158" s="31" t="str">
        <f>IF(LEN(TRIM(A158))=0,"",COUNTIFS(Students!E:E, A158, Students!D:D, "&gt;=0"))</f>
        <v/>
      </c>
      <c r="F158" s="31" t="str">
        <f t="shared" si="4"/>
        <v/>
      </c>
      <c r="G158" s="6" t="str">
        <f t="shared" si="5"/>
        <v/>
      </c>
    </row>
    <row r="159" spans="4:7" x14ac:dyDescent="0.2">
      <c r="D159" s="31" t="str">
        <f>IF(LEN(TRIM(A159))=0,"",COUNTIFS(Students!E:E, A159))</f>
        <v/>
      </c>
      <c r="E159" s="31" t="str">
        <f>IF(LEN(TRIM(A159))=0,"",COUNTIFS(Students!E:E, A159, Students!D:D, "&gt;=0"))</f>
        <v/>
      </c>
      <c r="F159" s="31" t="str">
        <f t="shared" si="4"/>
        <v/>
      </c>
      <c r="G159" s="6" t="str">
        <f t="shared" si="5"/>
        <v/>
      </c>
    </row>
    <row r="160" spans="4:7" x14ac:dyDescent="0.2">
      <c r="D160" s="31" t="str">
        <f>IF(LEN(TRIM(A160))=0,"",COUNTIFS(Students!E:E, A160))</f>
        <v/>
      </c>
      <c r="E160" s="31" t="str">
        <f>IF(LEN(TRIM(A160))=0,"",COUNTIFS(Students!E:E, A160, Students!D:D, "&gt;=0"))</f>
        <v/>
      </c>
      <c r="F160" s="31" t="str">
        <f t="shared" si="4"/>
        <v/>
      </c>
      <c r="G160" s="6" t="str">
        <f t="shared" si="5"/>
        <v/>
      </c>
    </row>
    <row r="161" spans="4:7" x14ac:dyDescent="0.2">
      <c r="D161" s="31" t="str">
        <f>IF(LEN(TRIM(A161))=0,"",COUNTIFS(Students!E:E, A161))</f>
        <v/>
      </c>
      <c r="E161" s="31" t="str">
        <f>IF(LEN(TRIM(A161))=0,"",COUNTIFS(Students!E:E, A161, Students!D:D, "&gt;=0"))</f>
        <v/>
      </c>
      <c r="F161" s="31" t="str">
        <f t="shared" si="4"/>
        <v/>
      </c>
      <c r="G161" s="6" t="str">
        <f t="shared" si="5"/>
        <v/>
      </c>
    </row>
    <row r="162" spans="4:7" x14ac:dyDescent="0.2">
      <c r="D162" s="31" t="str">
        <f>IF(LEN(TRIM(A162))=0,"",COUNTIFS(Students!E:E, A162))</f>
        <v/>
      </c>
      <c r="E162" s="31" t="str">
        <f>IF(LEN(TRIM(A162))=0,"",COUNTIFS(Students!E:E, A162, Students!D:D, "&gt;=0"))</f>
        <v/>
      </c>
      <c r="F162" s="31" t="str">
        <f t="shared" si="4"/>
        <v/>
      </c>
      <c r="G162" s="6" t="str">
        <f t="shared" si="5"/>
        <v/>
      </c>
    </row>
    <row r="163" spans="4:7" x14ac:dyDescent="0.2">
      <c r="D163" s="31" t="str">
        <f>IF(LEN(TRIM(A163))=0,"",COUNTIFS(Students!E:E, A163))</f>
        <v/>
      </c>
      <c r="E163" s="31" t="str">
        <f>IF(LEN(TRIM(A163))=0,"",COUNTIFS(Students!E:E, A163, Students!D:D, "&gt;=0"))</f>
        <v/>
      </c>
      <c r="F163" s="31" t="str">
        <f t="shared" si="4"/>
        <v/>
      </c>
      <c r="G163" s="6" t="str">
        <f t="shared" si="5"/>
        <v/>
      </c>
    </row>
    <row r="164" spans="4:7" x14ac:dyDescent="0.2">
      <c r="D164" s="31" t="str">
        <f>IF(LEN(TRIM(A164))=0,"",COUNTIFS(Students!E:E, A164))</f>
        <v/>
      </c>
      <c r="E164" s="31" t="str">
        <f>IF(LEN(TRIM(A164))=0,"",COUNTIFS(Students!E:E, A164, Students!D:D, "&gt;=0"))</f>
        <v/>
      </c>
      <c r="F164" s="31" t="str">
        <f t="shared" si="4"/>
        <v/>
      </c>
      <c r="G164" s="6" t="str">
        <f t="shared" si="5"/>
        <v/>
      </c>
    </row>
    <row r="165" spans="4:7" x14ac:dyDescent="0.2">
      <c r="D165" s="31" t="str">
        <f>IF(LEN(TRIM(A165))=0,"",COUNTIFS(Students!E:E, A165))</f>
        <v/>
      </c>
      <c r="E165" s="31" t="str">
        <f>IF(LEN(TRIM(A165))=0,"",COUNTIFS(Students!E:E, A165, Students!D:D, "&gt;=0"))</f>
        <v/>
      </c>
      <c r="F165" s="31" t="str">
        <f t="shared" si="4"/>
        <v/>
      </c>
      <c r="G165" s="6" t="str">
        <f t="shared" si="5"/>
        <v/>
      </c>
    </row>
    <row r="166" spans="4:7" x14ac:dyDescent="0.2">
      <c r="D166" s="31" t="str">
        <f>IF(LEN(TRIM(A166))=0,"",COUNTIFS(Students!E:E, A166))</f>
        <v/>
      </c>
      <c r="E166" s="31" t="str">
        <f>IF(LEN(TRIM(A166))=0,"",COUNTIFS(Students!E:E, A166, Students!D:D, "&gt;=0"))</f>
        <v/>
      </c>
      <c r="F166" s="31" t="str">
        <f t="shared" si="4"/>
        <v/>
      </c>
      <c r="G166" s="6" t="str">
        <f t="shared" si="5"/>
        <v/>
      </c>
    </row>
    <row r="167" spans="4:7" x14ac:dyDescent="0.2">
      <c r="D167" s="31" t="str">
        <f>IF(LEN(TRIM(A167))=0,"",COUNTIFS(Students!E:E, A167))</f>
        <v/>
      </c>
      <c r="E167" s="31" t="str">
        <f>IF(LEN(TRIM(A167))=0,"",COUNTIFS(Students!E:E, A167, Students!D:D, "&gt;=0"))</f>
        <v/>
      </c>
      <c r="F167" s="31" t="str">
        <f t="shared" si="4"/>
        <v/>
      </c>
      <c r="G167" s="6" t="str">
        <f t="shared" si="5"/>
        <v/>
      </c>
    </row>
    <row r="168" spans="4:7" x14ac:dyDescent="0.2">
      <c r="D168" s="31" t="str">
        <f>IF(LEN(TRIM(A168))=0,"",COUNTIFS(Students!E:E, A168))</f>
        <v/>
      </c>
      <c r="E168" s="31" t="str">
        <f>IF(LEN(TRIM(A168))=0,"",COUNTIFS(Students!E:E, A168, Students!D:D, "&gt;=0"))</f>
        <v/>
      </c>
      <c r="F168" s="31" t="str">
        <f t="shared" si="4"/>
        <v/>
      </c>
      <c r="G168" s="6" t="str">
        <f t="shared" si="5"/>
        <v/>
      </c>
    </row>
    <row r="169" spans="4:7" x14ac:dyDescent="0.2">
      <c r="D169" s="31" t="str">
        <f>IF(LEN(TRIM(A169))=0,"",COUNTIFS(Students!E:E, A169))</f>
        <v/>
      </c>
      <c r="E169" s="31" t="str">
        <f>IF(LEN(TRIM(A169))=0,"",COUNTIFS(Students!E:E, A169, Students!D:D, "&gt;=0"))</f>
        <v/>
      </c>
      <c r="F169" s="31" t="str">
        <f t="shared" si="4"/>
        <v/>
      </c>
      <c r="G169" s="6" t="str">
        <f t="shared" si="5"/>
        <v/>
      </c>
    </row>
    <row r="170" spans="4:7" x14ac:dyDescent="0.2">
      <c r="D170" s="31" t="str">
        <f>IF(LEN(TRIM(A170))=0,"",COUNTIFS(Students!E:E, A170))</f>
        <v/>
      </c>
      <c r="E170" s="31" t="str">
        <f>IF(LEN(TRIM(A170))=0,"",COUNTIFS(Students!E:E, A170, Students!D:D, "&gt;=0"))</f>
        <v/>
      </c>
      <c r="F170" s="31" t="str">
        <f t="shared" si="4"/>
        <v/>
      </c>
      <c r="G170" s="6" t="str">
        <f t="shared" si="5"/>
        <v/>
      </c>
    </row>
    <row r="171" spans="4:7" x14ac:dyDescent="0.2">
      <c r="D171" s="31" t="str">
        <f>IF(LEN(TRIM(A171))=0,"",COUNTIFS(Students!E:E, A171))</f>
        <v/>
      </c>
      <c r="E171" s="31" t="str">
        <f>IF(LEN(TRIM(A171))=0,"",COUNTIFS(Students!E:E, A171, Students!D:D, "&gt;=0"))</f>
        <v/>
      </c>
      <c r="F171" s="31" t="str">
        <f t="shared" si="4"/>
        <v/>
      </c>
      <c r="G171" s="6" t="str">
        <f t="shared" si="5"/>
        <v/>
      </c>
    </row>
    <row r="172" spans="4:7" x14ac:dyDescent="0.2">
      <c r="D172" s="31" t="str">
        <f>IF(LEN(TRIM(A172))=0,"",COUNTIFS(Students!E:E, A172))</f>
        <v/>
      </c>
      <c r="E172" s="31" t="str">
        <f>IF(LEN(TRIM(A172))=0,"",COUNTIFS(Students!E:E, A172, Students!D:D, "&gt;=0"))</f>
        <v/>
      </c>
      <c r="F172" s="31" t="str">
        <f t="shared" si="4"/>
        <v/>
      </c>
      <c r="G172" s="6" t="str">
        <f t="shared" si="5"/>
        <v/>
      </c>
    </row>
    <row r="173" spans="4:7" x14ac:dyDescent="0.2">
      <c r="D173" s="31" t="str">
        <f>IF(LEN(TRIM(A173))=0,"",COUNTIFS(Students!E:E, A173))</f>
        <v/>
      </c>
      <c r="E173" s="31" t="str">
        <f>IF(LEN(TRIM(A173))=0,"",COUNTIFS(Students!E:E, A173, Students!D:D, "&gt;=0"))</f>
        <v/>
      </c>
      <c r="F173" s="31" t="str">
        <f t="shared" si="4"/>
        <v/>
      </c>
      <c r="G173" s="6" t="str">
        <f t="shared" si="5"/>
        <v/>
      </c>
    </row>
    <row r="174" spans="4:7" x14ac:dyDescent="0.2">
      <c r="D174" s="31" t="str">
        <f>IF(LEN(TRIM(A174))=0,"",COUNTIFS(Students!E:E, A174))</f>
        <v/>
      </c>
      <c r="E174" s="31" t="str">
        <f>IF(LEN(TRIM(A174))=0,"",COUNTIFS(Students!E:E, A174, Students!D:D, "&gt;=0"))</f>
        <v/>
      </c>
      <c r="F174" s="31" t="str">
        <f t="shared" si="4"/>
        <v/>
      </c>
      <c r="G174" s="6" t="str">
        <f t="shared" si="5"/>
        <v/>
      </c>
    </row>
    <row r="175" spans="4:7" x14ac:dyDescent="0.2">
      <c r="D175" s="31" t="str">
        <f>IF(LEN(TRIM(A175))=0,"",COUNTIFS(Students!E:E, A175))</f>
        <v/>
      </c>
      <c r="E175" s="31" t="str">
        <f>IF(LEN(TRIM(A175))=0,"",COUNTIFS(Students!E:E, A175, Students!D:D, "&gt;=0"))</f>
        <v/>
      </c>
      <c r="F175" s="31" t="str">
        <f t="shared" si="4"/>
        <v/>
      </c>
      <c r="G175" s="6" t="str">
        <f t="shared" si="5"/>
        <v/>
      </c>
    </row>
    <row r="176" spans="4:7" x14ac:dyDescent="0.2">
      <c r="D176" s="31" t="str">
        <f>IF(LEN(TRIM(A176))=0,"",COUNTIFS(Students!E:E, A176))</f>
        <v/>
      </c>
      <c r="E176" s="31" t="str">
        <f>IF(LEN(TRIM(A176))=0,"",COUNTIFS(Students!E:E, A176, Students!D:D, "&gt;=0"))</f>
        <v/>
      </c>
      <c r="F176" s="31" t="str">
        <f t="shared" si="4"/>
        <v/>
      </c>
      <c r="G176" s="6" t="str">
        <f t="shared" si="5"/>
        <v/>
      </c>
    </row>
    <row r="177" spans="4:7" x14ac:dyDescent="0.2">
      <c r="D177" s="31" t="str">
        <f>IF(LEN(TRIM(A177))=0,"",COUNTIFS(Students!E:E, A177))</f>
        <v/>
      </c>
      <c r="E177" s="31" t="str">
        <f>IF(LEN(TRIM(A177))=0,"",COUNTIFS(Students!E:E, A177, Students!D:D, "&gt;=0"))</f>
        <v/>
      </c>
      <c r="F177" s="31" t="str">
        <f t="shared" si="4"/>
        <v/>
      </c>
      <c r="G177" s="6" t="str">
        <f t="shared" si="5"/>
        <v/>
      </c>
    </row>
    <row r="178" spans="4:7" x14ac:dyDescent="0.2">
      <c r="D178" s="31" t="str">
        <f>IF(LEN(TRIM(A178))=0,"",COUNTIFS(Students!E:E, A178))</f>
        <v/>
      </c>
      <c r="E178" s="31" t="str">
        <f>IF(LEN(TRIM(A178))=0,"",COUNTIFS(Students!E:E, A178, Students!D:D, "&gt;=0"))</f>
        <v/>
      </c>
      <c r="F178" s="31" t="str">
        <f t="shared" si="4"/>
        <v/>
      </c>
      <c r="G178" s="6" t="str">
        <f t="shared" si="5"/>
        <v/>
      </c>
    </row>
    <row r="179" spans="4:7" x14ac:dyDescent="0.2">
      <c r="D179" s="31" t="str">
        <f>IF(LEN(TRIM(A179))=0,"",COUNTIFS(Students!E:E, A179))</f>
        <v/>
      </c>
      <c r="E179" s="31" t="str">
        <f>IF(LEN(TRIM(A179))=0,"",COUNTIFS(Students!E:E, A179, Students!D:D, "&gt;=0"))</f>
        <v/>
      </c>
      <c r="F179" s="31" t="str">
        <f t="shared" si="4"/>
        <v/>
      </c>
      <c r="G179" s="6" t="str">
        <f t="shared" si="5"/>
        <v/>
      </c>
    </row>
    <row r="180" spans="4:7" x14ac:dyDescent="0.2">
      <c r="D180" s="31" t="str">
        <f>IF(LEN(TRIM(A180))=0,"",COUNTIFS(Students!E:E, A180))</f>
        <v/>
      </c>
      <c r="E180" s="31" t="str">
        <f>IF(LEN(TRIM(A180))=0,"",COUNTIFS(Students!E:E, A180, Students!D:D, "&gt;=0"))</f>
        <v/>
      </c>
      <c r="F180" s="31" t="str">
        <f t="shared" si="4"/>
        <v/>
      </c>
      <c r="G180" s="6" t="str">
        <f t="shared" si="5"/>
        <v/>
      </c>
    </row>
    <row r="181" spans="4:7" x14ac:dyDescent="0.2">
      <c r="D181" s="31" t="str">
        <f>IF(LEN(TRIM(A181))=0,"",COUNTIFS(Students!E:E, A181))</f>
        <v/>
      </c>
      <c r="E181" s="31" t="str">
        <f>IF(LEN(TRIM(A181))=0,"",COUNTIFS(Students!E:E, A181, Students!D:D, "&gt;=0"))</f>
        <v/>
      </c>
      <c r="F181" s="31" t="str">
        <f t="shared" si="4"/>
        <v/>
      </c>
      <c r="G181" s="6" t="str">
        <f t="shared" si="5"/>
        <v/>
      </c>
    </row>
    <row r="182" spans="4:7" x14ac:dyDescent="0.2">
      <c r="D182" s="31" t="str">
        <f>IF(LEN(TRIM(A182))=0,"",COUNTIFS(Students!E:E, A182))</f>
        <v/>
      </c>
      <c r="E182" s="31" t="str">
        <f>IF(LEN(TRIM(A182))=0,"",COUNTIFS(Students!E:E, A182, Students!D:D, "&gt;=0"))</f>
        <v/>
      </c>
      <c r="F182" s="31" t="str">
        <f t="shared" si="4"/>
        <v/>
      </c>
      <c r="G182" s="6" t="str">
        <f t="shared" si="5"/>
        <v/>
      </c>
    </row>
    <row r="183" spans="4:7" x14ac:dyDescent="0.2">
      <c r="D183" s="31" t="str">
        <f>IF(LEN(TRIM(A183))=0,"",COUNTIFS(Students!E:E, A183))</f>
        <v/>
      </c>
      <c r="E183" s="31" t="str">
        <f>IF(LEN(TRIM(A183))=0,"",COUNTIFS(Students!E:E, A183, Students!D:D, "&gt;=0"))</f>
        <v/>
      </c>
      <c r="F183" s="31" t="str">
        <f t="shared" si="4"/>
        <v/>
      </c>
      <c r="G183" s="6" t="str">
        <f t="shared" si="5"/>
        <v/>
      </c>
    </row>
    <row r="184" spans="4:7" x14ac:dyDescent="0.2">
      <c r="D184" s="31" t="str">
        <f>IF(LEN(TRIM(A184))=0,"",COUNTIFS(Students!E:E, A184))</f>
        <v/>
      </c>
      <c r="E184" s="31" t="str">
        <f>IF(LEN(TRIM(A184))=0,"",COUNTIFS(Students!E:E, A184, Students!D:D, "&gt;=0"))</f>
        <v/>
      </c>
      <c r="F184" s="31" t="str">
        <f t="shared" si="4"/>
        <v/>
      </c>
      <c r="G184" s="6" t="str">
        <f t="shared" si="5"/>
        <v/>
      </c>
    </row>
    <row r="185" spans="4:7" x14ac:dyDescent="0.2">
      <c r="D185" s="31" t="str">
        <f>IF(LEN(TRIM(A185))=0,"",COUNTIFS(Students!E:E, A185))</f>
        <v/>
      </c>
      <c r="E185" s="31" t="str">
        <f>IF(LEN(TRIM(A185))=0,"",COUNTIFS(Students!E:E, A185, Students!D:D, "&gt;=0"))</f>
        <v/>
      </c>
      <c r="F185" s="31" t="str">
        <f t="shared" si="4"/>
        <v/>
      </c>
      <c r="G185" s="6" t="str">
        <f t="shared" si="5"/>
        <v/>
      </c>
    </row>
    <row r="186" spans="4:7" x14ac:dyDescent="0.2">
      <c r="D186" s="31" t="str">
        <f>IF(LEN(TRIM(A186))=0,"",COUNTIFS(Students!E:E, A186))</f>
        <v/>
      </c>
      <c r="E186" s="31" t="str">
        <f>IF(LEN(TRIM(A186))=0,"",COUNTIFS(Students!E:E, A186, Students!D:D, "&gt;=0"))</f>
        <v/>
      </c>
      <c r="F186" s="31" t="str">
        <f t="shared" si="4"/>
        <v/>
      </c>
      <c r="G186" s="6" t="str">
        <f t="shared" si="5"/>
        <v/>
      </c>
    </row>
    <row r="187" spans="4:7" x14ac:dyDescent="0.2">
      <c r="D187" s="31" t="str">
        <f>IF(LEN(TRIM(A187))=0,"",COUNTIFS(Students!E:E, A187))</f>
        <v/>
      </c>
      <c r="E187" s="31" t="str">
        <f>IF(LEN(TRIM(A187))=0,"",COUNTIFS(Students!E:E, A187, Students!D:D, "&gt;=0"))</f>
        <v/>
      </c>
      <c r="F187" s="31" t="str">
        <f t="shared" si="4"/>
        <v/>
      </c>
      <c r="G187" s="6" t="str">
        <f t="shared" si="5"/>
        <v/>
      </c>
    </row>
    <row r="188" spans="4:7" x14ac:dyDescent="0.2">
      <c r="D188" s="31" t="str">
        <f>IF(LEN(TRIM(A188))=0,"",COUNTIFS(Students!E:E, A188))</f>
        <v/>
      </c>
      <c r="E188" s="31" t="str">
        <f>IF(LEN(TRIM(A188))=0,"",COUNTIFS(Students!E:E, A188, Students!D:D, "&gt;=0"))</f>
        <v/>
      </c>
      <c r="F188" s="31" t="str">
        <f t="shared" si="4"/>
        <v/>
      </c>
      <c r="G188" s="6" t="str">
        <f t="shared" si="5"/>
        <v/>
      </c>
    </row>
    <row r="189" spans="4:7" x14ac:dyDescent="0.2">
      <c r="D189" s="31" t="str">
        <f>IF(LEN(TRIM(A189))=0,"",COUNTIFS(Students!E:E, A189))</f>
        <v/>
      </c>
      <c r="E189" s="31" t="str">
        <f>IF(LEN(TRIM(A189))=0,"",COUNTIFS(Students!E:E, A189, Students!D:D, "&gt;=0"))</f>
        <v/>
      </c>
      <c r="F189" s="31" t="str">
        <f t="shared" si="4"/>
        <v/>
      </c>
      <c r="G189" s="6" t="str">
        <f t="shared" si="5"/>
        <v/>
      </c>
    </row>
    <row r="190" spans="4:7" x14ac:dyDescent="0.2">
      <c r="D190" s="31" t="str">
        <f>IF(LEN(TRIM(A190))=0,"",COUNTIFS(Students!E:E, A190))</f>
        <v/>
      </c>
      <c r="E190" s="31" t="str">
        <f>IF(LEN(TRIM(A190))=0,"",COUNTIFS(Students!E:E, A190, Students!D:D, "&gt;=0"))</f>
        <v/>
      </c>
      <c r="F190" s="31" t="str">
        <f t="shared" si="4"/>
        <v/>
      </c>
      <c r="G190" s="6" t="str">
        <f t="shared" si="5"/>
        <v/>
      </c>
    </row>
    <row r="191" spans="4:7" x14ac:dyDescent="0.2">
      <c r="D191" s="31" t="str">
        <f>IF(LEN(TRIM(A191))=0,"",COUNTIFS(Students!E:E, A191))</f>
        <v/>
      </c>
      <c r="E191" s="31" t="str">
        <f>IF(LEN(TRIM(A191))=0,"",COUNTIFS(Students!E:E, A191, Students!D:D, "&gt;=0"))</f>
        <v/>
      </c>
      <c r="F191" s="31" t="str">
        <f t="shared" si="4"/>
        <v/>
      </c>
      <c r="G191" s="6" t="str">
        <f t="shared" si="5"/>
        <v/>
      </c>
    </row>
    <row r="192" spans="4:7" x14ac:dyDescent="0.2">
      <c r="D192" s="31" t="str">
        <f>IF(LEN(TRIM(A192))=0,"",COUNTIFS(Students!E:E, A192))</f>
        <v/>
      </c>
      <c r="E192" s="31" t="str">
        <f>IF(LEN(TRIM(A192))=0,"",COUNTIFS(Students!E:E, A192, Students!D:D, "&gt;=0"))</f>
        <v/>
      </c>
      <c r="F192" s="31" t="str">
        <f t="shared" si="4"/>
        <v/>
      </c>
      <c r="G192" s="6" t="str">
        <f t="shared" si="5"/>
        <v/>
      </c>
    </row>
    <row r="193" spans="4:7" x14ac:dyDescent="0.2">
      <c r="D193" s="31" t="str">
        <f>IF(LEN(TRIM(A193))=0,"",COUNTIFS(Students!E:E, A193))</f>
        <v/>
      </c>
      <c r="E193" s="31" t="str">
        <f>IF(LEN(TRIM(A193))=0,"",COUNTIFS(Students!E:E, A193, Students!D:D, "&gt;=0"))</f>
        <v/>
      </c>
      <c r="F193" s="31" t="str">
        <f t="shared" si="4"/>
        <v/>
      </c>
      <c r="G193" s="6" t="str">
        <f t="shared" si="5"/>
        <v/>
      </c>
    </row>
    <row r="194" spans="4:7" x14ac:dyDescent="0.2">
      <c r="D194" s="31" t="str">
        <f>IF(LEN(TRIM(A194))=0,"",COUNTIFS(Students!E:E, A194))</f>
        <v/>
      </c>
      <c r="E194" s="31" t="str">
        <f>IF(LEN(TRIM(A194))=0,"",COUNTIFS(Students!E:E, A194, Students!D:D, "&gt;=0"))</f>
        <v/>
      </c>
      <c r="F194" s="31" t="str">
        <f t="shared" si="4"/>
        <v/>
      </c>
      <c r="G194" s="6" t="str">
        <f t="shared" si="5"/>
        <v/>
      </c>
    </row>
    <row r="195" spans="4:7" x14ac:dyDescent="0.2">
      <c r="D195" s="31" t="str">
        <f>IF(LEN(TRIM(A195))=0,"",COUNTIFS(Students!E:E, A195))</f>
        <v/>
      </c>
      <c r="E195" s="31" t="str">
        <f>IF(LEN(TRIM(A195))=0,"",COUNTIFS(Students!E:E, A195, Students!D:D, "&gt;=0"))</f>
        <v/>
      </c>
      <c r="F195" s="31" t="str">
        <f t="shared" ref="F195:F258" si="6">IFERROR(D195-E195,"")</f>
        <v/>
      </c>
      <c r="G195" s="6" t="str">
        <f t="shared" ref="G195:G258" si="7">IFERROR(IF(D195=0, "N/A", E195/D195),"")</f>
        <v/>
      </c>
    </row>
    <row r="196" spans="4:7" x14ac:dyDescent="0.2">
      <c r="D196" s="31" t="str">
        <f>IF(LEN(TRIM(A196))=0,"",COUNTIFS(Students!E:E, A196))</f>
        <v/>
      </c>
      <c r="E196" s="31" t="str">
        <f>IF(LEN(TRIM(A196))=0,"",COUNTIFS(Students!E:E, A196, Students!D:D, "&gt;=0"))</f>
        <v/>
      </c>
      <c r="F196" s="31" t="str">
        <f t="shared" si="6"/>
        <v/>
      </c>
      <c r="G196" s="6" t="str">
        <f t="shared" si="7"/>
        <v/>
      </c>
    </row>
    <row r="197" spans="4:7" x14ac:dyDescent="0.2">
      <c r="D197" s="31" t="str">
        <f>IF(LEN(TRIM(A197))=0,"",COUNTIFS(Students!E:E, A197))</f>
        <v/>
      </c>
      <c r="E197" s="31" t="str">
        <f>IF(LEN(TRIM(A197))=0,"",COUNTIFS(Students!E:E, A197, Students!D:D, "&gt;=0"))</f>
        <v/>
      </c>
      <c r="F197" s="31" t="str">
        <f t="shared" si="6"/>
        <v/>
      </c>
      <c r="G197" s="6" t="str">
        <f t="shared" si="7"/>
        <v/>
      </c>
    </row>
    <row r="198" spans="4:7" x14ac:dyDescent="0.2">
      <c r="D198" s="31" t="str">
        <f>IF(LEN(TRIM(A198))=0,"",COUNTIFS(Students!E:E, A198))</f>
        <v/>
      </c>
      <c r="E198" s="31" t="str">
        <f>IF(LEN(TRIM(A198))=0,"",COUNTIFS(Students!E:E, A198, Students!D:D, "&gt;=0"))</f>
        <v/>
      </c>
      <c r="F198" s="31" t="str">
        <f t="shared" si="6"/>
        <v/>
      </c>
      <c r="G198" s="6" t="str">
        <f t="shared" si="7"/>
        <v/>
      </c>
    </row>
    <row r="199" spans="4:7" x14ac:dyDescent="0.2">
      <c r="D199" s="31" t="str">
        <f>IF(LEN(TRIM(A199))=0,"",COUNTIFS(Students!E:E, A199))</f>
        <v/>
      </c>
      <c r="E199" s="31" t="str">
        <f>IF(LEN(TRIM(A199))=0,"",COUNTIFS(Students!E:E, A199, Students!D:D, "&gt;=0"))</f>
        <v/>
      </c>
      <c r="F199" s="31" t="str">
        <f t="shared" si="6"/>
        <v/>
      </c>
      <c r="G199" s="6" t="str">
        <f t="shared" si="7"/>
        <v/>
      </c>
    </row>
    <row r="200" spans="4:7" x14ac:dyDescent="0.2">
      <c r="D200" s="31" t="str">
        <f>IF(LEN(TRIM(A200))=0,"",COUNTIFS(Students!E:E, A200))</f>
        <v/>
      </c>
      <c r="E200" s="31" t="str">
        <f>IF(LEN(TRIM(A200))=0,"",COUNTIFS(Students!E:E, A200, Students!D:D, "&gt;=0"))</f>
        <v/>
      </c>
      <c r="F200" s="31" t="str">
        <f t="shared" si="6"/>
        <v/>
      </c>
      <c r="G200" s="6" t="str">
        <f t="shared" si="7"/>
        <v/>
      </c>
    </row>
    <row r="201" spans="4:7" x14ac:dyDescent="0.2">
      <c r="D201" s="31" t="str">
        <f>IF(LEN(TRIM(A201))=0,"",COUNTIFS(Students!E:E, A201))</f>
        <v/>
      </c>
      <c r="E201" s="31" t="str">
        <f>IF(LEN(TRIM(A201))=0,"",COUNTIFS(Students!E:E, A201, Students!D:D, "&gt;=0"))</f>
        <v/>
      </c>
      <c r="F201" s="31" t="str">
        <f t="shared" si="6"/>
        <v/>
      </c>
      <c r="G201" s="6" t="str">
        <f t="shared" si="7"/>
        <v/>
      </c>
    </row>
    <row r="202" spans="4:7" x14ac:dyDescent="0.2">
      <c r="D202" s="31" t="str">
        <f>IF(LEN(TRIM(A202))=0,"",COUNTIFS(Students!E:E, A202))</f>
        <v/>
      </c>
      <c r="E202" s="31" t="str">
        <f>IF(LEN(TRIM(A202))=0,"",COUNTIFS(Students!E:E, A202, Students!D:D, "&gt;=0"))</f>
        <v/>
      </c>
      <c r="F202" s="31" t="str">
        <f t="shared" si="6"/>
        <v/>
      </c>
      <c r="G202" s="6" t="str">
        <f t="shared" si="7"/>
        <v/>
      </c>
    </row>
    <row r="203" spans="4:7" x14ac:dyDescent="0.2">
      <c r="D203" s="31" t="str">
        <f>IF(LEN(TRIM(A203))=0,"",COUNTIFS(Students!E:E, A203))</f>
        <v/>
      </c>
      <c r="E203" s="31" t="str">
        <f>IF(LEN(TRIM(A203))=0,"",COUNTIFS(Students!E:E, A203, Students!D:D, "&gt;=0"))</f>
        <v/>
      </c>
      <c r="F203" s="31" t="str">
        <f t="shared" si="6"/>
        <v/>
      </c>
      <c r="G203" s="6" t="str">
        <f t="shared" si="7"/>
        <v/>
      </c>
    </row>
    <row r="204" spans="4:7" x14ac:dyDescent="0.2">
      <c r="D204" s="31" t="str">
        <f>IF(LEN(TRIM(A204))=0,"",COUNTIFS(Students!E:E, A204))</f>
        <v/>
      </c>
      <c r="E204" s="31" t="str">
        <f>IF(LEN(TRIM(A204))=0,"",COUNTIFS(Students!E:E, A204, Students!D:D, "&gt;=0"))</f>
        <v/>
      </c>
      <c r="F204" s="31" t="str">
        <f t="shared" si="6"/>
        <v/>
      </c>
      <c r="G204" s="6" t="str">
        <f t="shared" si="7"/>
        <v/>
      </c>
    </row>
    <row r="205" spans="4:7" x14ac:dyDescent="0.2">
      <c r="D205" s="31" t="str">
        <f>IF(LEN(TRIM(A205))=0,"",COUNTIFS(Students!E:E, A205))</f>
        <v/>
      </c>
      <c r="E205" s="31" t="str">
        <f>IF(LEN(TRIM(A205))=0,"",COUNTIFS(Students!E:E, A205, Students!D:D, "&gt;=0"))</f>
        <v/>
      </c>
      <c r="F205" s="31" t="str">
        <f t="shared" si="6"/>
        <v/>
      </c>
      <c r="G205" s="6" t="str">
        <f t="shared" si="7"/>
        <v/>
      </c>
    </row>
    <row r="206" spans="4:7" x14ac:dyDescent="0.2">
      <c r="D206" s="31" t="str">
        <f>IF(LEN(TRIM(A206))=0,"",COUNTIFS(Students!E:E, A206))</f>
        <v/>
      </c>
      <c r="E206" s="31" t="str">
        <f>IF(LEN(TRIM(A206))=0,"",COUNTIFS(Students!E:E, A206, Students!D:D, "&gt;=0"))</f>
        <v/>
      </c>
      <c r="F206" s="31" t="str">
        <f t="shared" si="6"/>
        <v/>
      </c>
      <c r="G206" s="6" t="str">
        <f t="shared" si="7"/>
        <v/>
      </c>
    </row>
    <row r="207" spans="4:7" x14ac:dyDescent="0.2">
      <c r="D207" s="31" t="str">
        <f>IF(LEN(TRIM(A207))=0,"",COUNTIFS(Students!E:E, A207))</f>
        <v/>
      </c>
      <c r="E207" s="31" t="str">
        <f>IF(LEN(TRIM(A207))=0,"",COUNTIFS(Students!E:E, A207, Students!D:D, "&gt;=0"))</f>
        <v/>
      </c>
      <c r="F207" s="31" t="str">
        <f t="shared" si="6"/>
        <v/>
      </c>
      <c r="G207" s="6" t="str">
        <f t="shared" si="7"/>
        <v/>
      </c>
    </row>
    <row r="208" spans="4:7" x14ac:dyDescent="0.2">
      <c r="D208" s="31" t="str">
        <f>IF(LEN(TRIM(A208))=0,"",COUNTIFS(Students!E:E, A208))</f>
        <v/>
      </c>
      <c r="E208" s="31" t="str">
        <f>IF(LEN(TRIM(A208))=0,"",COUNTIFS(Students!E:E, A208, Students!D:D, "&gt;=0"))</f>
        <v/>
      </c>
      <c r="F208" s="31" t="str">
        <f t="shared" si="6"/>
        <v/>
      </c>
      <c r="G208" s="6" t="str">
        <f t="shared" si="7"/>
        <v/>
      </c>
    </row>
    <row r="209" spans="4:7" x14ac:dyDescent="0.2">
      <c r="D209" s="31" t="str">
        <f>IF(LEN(TRIM(A209))=0,"",COUNTIFS(Students!E:E, A209))</f>
        <v/>
      </c>
      <c r="E209" s="31" t="str">
        <f>IF(LEN(TRIM(A209))=0,"",COUNTIFS(Students!E:E, A209, Students!D:D, "&gt;=0"))</f>
        <v/>
      </c>
      <c r="F209" s="31" t="str">
        <f t="shared" si="6"/>
        <v/>
      </c>
      <c r="G209" s="6" t="str">
        <f t="shared" si="7"/>
        <v/>
      </c>
    </row>
    <row r="210" spans="4:7" x14ac:dyDescent="0.2">
      <c r="D210" s="31" t="str">
        <f>IF(LEN(TRIM(A210))=0,"",COUNTIFS(Students!E:E, A210))</f>
        <v/>
      </c>
      <c r="E210" s="31" t="str">
        <f>IF(LEN(TRIM(A210))=0,"",COUNTIFS(Students!E:E, A210, Students!D:D, "&gt;=0"))</f>
        <v/>
      </c>
      <c r="F210" s="31" t="str">
        <f t="shared" si="6"/>
        <v/>
      </c>
      <c r="G210" s="6" t="str">
        <f t="shared" si="7"/>
        <v/>
      </c>
    </row>
    <row r="211" spans="4:7" x14ac:dyDescent="0.2">
      <c r="D211" s="31" t="str">
        <f>IF(LEN(TRIM(A211))=0,"",COUNTIFS(Students!E:E, A211))</f>
        <v/>
      </c>
      <c r="E211" s="31" t="str">
        <f>IF(LEN(TRIM(A211))=0,"",COUNTIFS(Students!E:E, A211, Students!D:D, "&gt;=0"))</f>
        <v/>
      </c>
      <c r="F211" s="31" t="str">
        <f t="shared" si="6"/>
        <v/>
      </c>
      <c r="G211" s="6" t="str">
        <f t="shared" si="7"/>
        <v/>
      </c>
    </row>
    <row r="212" spans="4:7" x14ac:dyDescent="0.2">
      <c r="D212" s="31" t="str">
        <f>IF(LEN(TRIM(A212))=0,"",COUNTIFS(Students!E:E, A212))</f>
        <v/>
      </c>
      <c r="E212" s="31" t="str">
        <f>IF(LEN(TRIM(A212))=0,"",COUNTIFS(Students!E:E, A212, Students!D:D, "&gt;=0"))</f>
        <v/>
      </c>
      <c r="F212" s="31" t="str">
        <f t="shared" si="6"/>
        <v/>
      </c>
      <c r="G212" s="6" t="str">
        <f t="shared" si="7"/>
        <v/>
      </c>
    </row>
    <row r="213" spans="4:7" x14ac:dyDescent="0.2">
      <c r="D213" s="31" t="str">
        <f>IF(LEN(TRIM(A213))=0,"",COUNTIFS(Students!E:E, A213))</f>
        <v/>
      </c>
      <c r="E213" s="31" t="str">
        <f>IF(LEN(TRIM(A213))=0,"",COUNTIFS(Students!E:E, A213, Students!D:D, "&gt;=0"))</f>
        <v/>
      </c>
      <c r="F213" s="31" t="str">
        <f t="shared" si="6"/>
        <v/>
      </c>
      <c r="G213" s="6" t="str">
        <f t="shared" si="7"/>
        <v/>
      </c>
    </row>
    <row r="214" spans="4:7" x14ac:dyDescent="0.2">
      <c r="D214" s="31" t="str">
        <f>IF(LEN(TRIM(A214))=0,"",COUNTIFS(Students!E:E, A214))</f>
        <v/>
      </c>
      <c r="E214" s="31" t="str">
        <f>IF(LEN(TRIM(A214))=0,"",COUNTIFS(Students!E:E, A214, Students!D:D, "&gt;=0"))</f>
        <v/>
      </c>
      <c r="F214" s="31" t="str">
        <f t="shared" si="6"/>
        <v/>
      </c>
      <c r="G214" s="6" t="str">
        <f t="shared" si="7"/>
        <v/>
      </c>
    </row>
    <row r="215" spans="4:7" x14ac:dyDescent="0.2">
      <c r="D215" s="31" t="str">
        <f>IF(LEN(TRIM(A215))=0,"",COUNTIFS(Students!E:E, A215))</f>
        <v/>
      </c>
      <c r="E215" s="31" t="str">
        <f>IF(LEN(TRIM(A215))=0,"",COUNTIFS(Students!E:E, A215, Students!D:D, "&gt;=0"))</f>
        <v/>
      </c>
      <c r="F215" s="31" t="str">
        <f t="shared" si="6"/>
        <v/>
      </c>
      <c r="G215" s="6" t="str">
        <f t="shared" si="7"/>
        <v/>
      </c>
    </row>
    <row r="216" spans="4:7" x14ac:dyDescent="0.2">
      <c r="D216" s="31" t="str">
        <f>IF(LEN(TRIM(A216))=0,"",COUNTIFS(Students!E:E, A216))</f>
        <v/>
      </c>
      <c r="E216" s="31" t="str">
        <f>IF(LEN(TRIM(A216))=0,"",COUNTIFS(Students!E:E, A216, Students!D:D, "&gt;=0"))</f>
        <v/>
      </c>
      <c r="F216" s="31" t="str">
        <f t="shared" si="6"/>
        <v/>
      </c>
      <c r="G216" s="6" t="str">
        <f t="shared" si="7"/>
        <v/>
      </c>
    </row>
    <row r="217" spans="4:7" x14ac:dyDescent="0.2">
      <c r="D217" s="31" t="str">
        <f>IF(LEN(TRIM(A217))=0,"",COUNTIFS(Students!E:E, A217))</f>
        <v/>
      </c>
      <c r="E217" s="31" t="str">
        <f>IF(LEN(TRIM(A217))=0,"",COUNTIFS(Students!E:E, A217, Students!D:D, "&gt;=0"))</f>
        <v/>
      </c>
      <c r="F217" s="31" t="str">
        <f t="shared" si="6"/>
        <v/>
      </c>
      <c r="G217" s="6" t="str">
        <f t="shared" si="7"/>
        <v/>
      </c>
    </row>
    <row r="218" spans="4:7" x14ac:dyDescent="0.2">
      <c r="D218" s="31" t="str">
        <f>IF(LEN(TRIM(A218))=0,"",COUNTIFS(Students!E:E, A218))</f>
        <v/>
      </c>
      <c r="E218" s="31" t="str">
        <f>IF(LEN(TRIM(A218))=0,"",COUNTIFS(Students!E:E, A218, Students!D:D, "&gt;=0"))</f>
        <v/>
      </c>
      <c r="F218" s="31" t="str">
        <f t="shared" si="6"/>
        <v/>
      </c>
      <c r="G218" s="6" t="str">
        <f t="shared" si="7"/>
        <v/>
      </c>
    </row>
    <row r="219" spans="4:7" x14ac:dyDescent="0.2">
      <c r="D219" s="31" t="str">
        <f>IF(LEN(TRIM(A219))=0,"",COUNTIFS(Students!E:E, A219))</f>
        <v/>
      </c>
      <c r="E219" s="31" t="str">
        <f>IF(LEN(TRIM(A219))=0,"",COUNTIFS(Students!E:E, A219, Students!D:D, "&gt;=0"))</f>
        <v/>
      </c>
      <c r="F219" s="31" t="str">
        <f t="shared" si="6"/>
        <v/>
      </c>
      <c r="G219" s="6" t="str">
        <f t="shared" si="7"/>
        <v/>
      </c>
    </row>
    <row r="220" spans="4:7" x14ac:dyDescent="0.2">
      <c r="D220" s="31" t="str">
        <f>IF(LEN(TRIM(A220))=0,"",COUNTIFS(Students!E:E, A220))</f>
        <v/>
      </c>
      <c r="E220" s="31" t="str">
        <f>IF(LEN(TRIM(A220))=0,"",COUNTIFS(Students!E:E, A220, Students!D:D, "&gt;=0"))</f>
        <v/>
      </c>
      <c r="F220" s="31" t="str">
        <f t="shared" si="6"/>
        <v/>
      </c>
      <c r="G220" s="6" t="str">
        <f t="shared" si="7"/>
        <v/>
      </c>
    </row>
    <row r="221" spans="4:7" x14ac:dyDescent="0.2">
      <c r="D221" s="31" t="str">
        <f>IF(LEN(TRIM(A221))=0,"",COUNTIFS(Students!E:E, A221))</f>
        <v/>
      </c>
      <c r="E221" s="31" t="str">
        <f>IF(LEN(TRIM(A221))=0,"",COUNTIFS(Students!E:E, A221, Students!D:D, "&gt;=0"))</f>
        <v/>
      </c>
      <c r="F221" s="31" t="str">
        <f t="shared" si="6"/>
        <v/>
      </c>
      <c r="G221" s="6" t="str">
        <f t="shared" si="7"/>
        <v/>
      </c>
    </row>
    <row r="222" spans="4:7" x14ac:dyDescent="0.2">
      <c r="D222" s="31" t="str">
        <f>IF(LEN(TRIM(A222))=0,"",COUNTIFS(Students!E:E, A222))</f>
        <v/>
      </c>
      <c r="E222" s="31" t="str">
        <f>IF(LEN(TRIM(A222))=0,"",COUNTIFS(Students!E:E, A222, Students!D:D, "&gt;=0"))</f>
        <v/>
      </c>
      <c r="F222" s="31" t="str">
        <f t="shared" si="6"/>
        <v/>
      </c>
      <c r="G222" s="6" t="str">
        <f t="shared" si="7"/>
        <v/>
      </c>
    </row>
    <row r="223" spans="4:7" x14ac:dyDescent="0.2">
      <c r="D223" s="31" t="str">
        <f>IF(LEN(TRIM(A223))=0,"",COUNTIFS(Students!E:E, A223))</f>
        <v/>
      </c>
      <c r="E223" s="31" t="str">
        <f>IF(LEN(TRIM(A223))=0,"",COUNTIFS(Students!E:E, A223, Students!D:D, "&gt;=0"))</f>
        <v/>
      </c>
      <c r="F223" s="31" t="str">
        <f t="shared" si="6"/>
        <v/>
      </c>
      <c r="G223" s="6" t="str">
        <f t="shared" si="7"/>
        <v/>
      </c>
    </row>
    <row r="224" spans="4:7" x14ac:dyDescent="0.2">
      <c r="D224" s="31" t="str">
        <f>IF(LEN(TRIM(A224))=0,"",COUNTIFS(Students!E:E, A224))</f>
        <v/>
      </c>
      <c r="E224" s="31" t="str">
        <f>IF(LEN(TRIM(A224))=0,"",COUNTIFS(Students!E:E, A224, Students!D:D, "&gt;=0"))</f>
        <v/>
      </c>
      <c r="F224" s="31" t="str">
        <f t="shared" si="6"/>
        <v/>
      </c>
      <c r="G224" s="6" t="str">
        <f t="shared" si="7"/>
        <v/>
      </c>
    </row>
    <row r="225" spans="4:7" x14ac:dyDescent="0.2">
      <c r="D225" s="31" t="str">
        <f>IF(LEN(TRIM(A225))=0,"",COUNTIFS(Students!E:E, A225))</f>
        <v/>
      </c>
      <c r="E225" s="31" t="str">
        <f>IF(LEN(TRIM(A225))=0,"",COUNTIFS(Students!E:E, A225, Students!D:D, "&gt;=0"))</f>
        <v/>
      </c>
      <c r="F225" s="31" t="str">
        <f t="shared" si="6"/>
        <v/>
      </c>
      <c r="G225" s="6" t="str">
        <f t="shared" si="7"/>
        <v/>
      </c>
    </row>
    <row r="226" spans="4:7" x14ac:dyDescent="0.2">
      <c r="D226" s="31" t="str">
        <f>IF(LEN(TRIM(A226))=0,"",COUNTIFS(Students!E:E, A226))</f>
        <v/>
      </c>
      <c r="E226" s="31" t="str">
        <f>IF(LEN(TRIM(A226))=0,"",COUNTIFS(Students!E:E, A226, Students!D:D, "&gt;=0"))</f>
        <v/>
      </c>
      <c r="F226" s="31" t="str">
        <f t="shared" si="6"/>
        <v/>
      </c>
      <c r="G226" s="6" t="str">
        <f t="shared" si="7"/>
        <v/>
      </c>
    </row>
    <row r="227" spans="4:7" x14ac:dyDescent="0.2">
      <c r="D227" s="31" t="str">
        <f>IF(LEN(TRIM(A227))=0,"",COUNTIFS(Students!E:E, A227))</f>
        <v/>
      </c>
      <c r="E227" s="31" t="str">
        <f>IF(LEN(TRIM(A227))=0,"",COUNTIFS(Students!E:E, A227, Students!D:D, "&gt;=0"))</f>
        <v/>
      </c>
      <c r="F227" s="31" t="str">
        <f t="shared" si="6"/>
        <v/>
      </c>
      <c r="G227" s="6" t="str">
        <f t="shared" si="7"/>
        <v/>
      </c>
    </row>
    <row r="228" spans="4:7" x14ac:dyDescent="0.2">
      <c r="D228" s="31" t="str">
        <f>IF(LEN(TRIM(A228))=0,"",COUNTIFS(Students!E:E, A228))</f>
        <v/>
      </c>
      <c r="E228" s="31" t="str">
        <f>IF(LEN(TRIM(A228))=0,"",COUNTIFS(Students!E:E, A228, Students!D:D, "&gt;=0"))</f>
        <v/>
      </c>
      <c r="F228" s="31" t="str">
        <f t="shared" si="6"/>
        <v/>
      </c>
      <c r="G228" s="6" t="str">
        <f t="shared" si="7"/>
        <v/>
      </c>
    </row>
    <row r="229" spans="4:7" x14ac:dyDescent="0.2">
      <c r="D229" s="31" t="str">
        <f>IF(LEN(TRIM(A229))=0,"",COUNTIFS(Students!E:E, A229))</f>
        <v/>
      </c>
      <c r="E229" s="31" t="str">
        <f>IF(LEN(TRIM(A229))=0,"",COUNTIFS(Students!E:E, A229, Students!D:D, "&gt;=0"))</f>
        <v/>
      </c>
      <c r="F229" s="31" t="str">
        <f t="shared" si="6"/>
        <v/>
      </c>
      <c r="G229" s="6" t="str">
        <f t="shared" si="7"/>
        <v/>
      </c>
    </row>
    <row r="230" spans="4:7" x14ac:dyDescent="0.2">
      <c r="D230" s="31" t="str">
        <f>IF(LEN(TRIM(A230))=0,"",COUNTIFS(Students!E:E, A230))</f>
        <v/>
      </c>
      <c r="E230" s="31" t="str">
        <f>IF(LEN(TRIM(A230))=0,"",COUNTIFS(Students!E:E, A230, Students!D:D, "&gt;=0"))</f>
        <v/>
      </c>
      <c r="F230" s="31" t="str">
        <f t="shared" si="6"/>
        <v/>
      </c>
      <c r="G230" s="6" t="str">
        <f t="shared" si="7"/>
        <v/>
      </c>
    </row>
    <row r="231" spans="4:7" x14ac:dyDescent="0.2">
      <c r="D231" s="31" t="str">
        <f>IF(LEN(TRIM(A231))=0,"",COUNTIFS(Students!E:E, A231))</f>
        <v/>
      </c>
      <c r="E231" s="31" t="str">
        <f>IF(LEN(TRIM(A231))=0,"",COUNTIFS(Students!E:E, A231, Students!D:D, "&gt;=0"))</f>
        <v/>
      </c>
      <c r="F231" s="31" t="str">
        <f t="shared" si="6"/>
        <v/>
      </c>
      <c r="G231" s="6" t="str">
        <f t="shared" si="7"/>
        <v/>
      </c>
    </row>
    <row r="232" spans="4:7" x14ac:dyDescent="0.2">
      <c r="D232" s="31" t="str">
        <f>IF(LEN(TRIM(A232))=0,"",COUNTIFS(Students!E:E, A232))</f>
        <v/>
      </c>
      <c r="E232" s="31" t="str">
        <f>IF(LEN(TRIM(A232))=0,"",COUNTIFS(Students!E:E, A232, Students!D:D, "&gt;=0"))</f>
        <v/>
      </c>
      <c r="F232" s="31" t="str">
        <f t="shared" si="6"/>
        <v/>
      </c>
      <c r="G232" s="6" t="str">
        <f t="shared" si="7"/>
        <v/>
      </c>
    </row>
    <row r="233" spans="4:7" x14ac:dyDescent="0.2">
      <c r="D233" s="31" t="str">
        <f>IF(LEN(TRIM(A233))=0,"",COUNTIFS(Students!E:E, A233))</f>
        <v/>
      </c>
      <c r="E233" s="31" t="str">
        <f>IF(LEN(TRIM(A233))=0,"",COUNTIFS(Students!E:E, A233, Students!D:D, "&gt;=0"))</f>
        <v/>
      </c>
      <c r="F233" s="31" t="str">
        <f t="shared" si="6"/>
        <v/>
      </c>
      <c r="G233" s="6" t="str">
        <f t="shared" si="7"/>
        <v/>
      </c>
    </row>
    <row r="234" spans="4:7" x14ac:dyDescent="0.2">
      <c r="D234" s="31" t="str">
        <f>IF(LEN(TRIM(A234))=0,"",COUNTIFS(Students!E:E, A234))</f>
        <v/>
      </c>
      <c r="E234" s="31" t="str">
        <f>IF(LEN(TRIM(A234))=0,"",COUNTIFS(Students!E:E, A234, Students!D:D, "&gt;=0"))</f>
        <v/>
      </c>
      <c r="F234" s="31" t="str">
        <f t="shared" si="6"/>
        <v/>
      </c>
      <c r="G234" s="6" t="str">
        <f t="shared" si="7"/>
        <v/>
      </c>
    </row>
    <row r="235" spans="4:7" x14ac:dyDescent="0.2">
      <c r="D235" s="31" t="str">
        <f>IF(LEN(TRIM(A235))=0,"",COUNTIFS(Students!E:E, A235))</f>
        <v/>
      </c>
      <c r="E235" s="31" t="str">
        <f>IF(LEN(TRIM(A235))=0,"",COUNTIFS(Students!E:E, A235, Students!D:D, "&gt;=0"))</f>
        <v/>
      </c>
      <c r="F235" s="31" t="str">
        <f t="shared" si="6"/>
        <v/>
      </c>
      <c r="G235" s="6" t="str">
        <f t="shared" si="7"/>
        <v/>
      </c>
    </row>
    <row r="236" spans="4:7" x14ac:dyDescent="0.2">
      <c r="D236" s="31" t="str">
        <f>IF(LEN(TRIM(A236))=0,"",COUNTIFS(Students!E:E, A236))</f>
        <v/>
      </c>
      <c r="E236" s="31" t="str">
        <f>IF(LEN(TRIM(A236))=0,"",COUNTIFS(Students!E:E, A236, Students!D:D, "&gt;=0"))</f>
        <v/>
      </c>
      <c r="F236" s="31" t="str">
        <f t="shared" si="6"/>
        <v/>
      </c>
      <c r="G236" s="6" t="str">
        <f t="shared" si="7"/>
        <v/>
      </c>
    </row>
    <row r="237" spans="4:7" x14ac:dyDescent="0.2">
      <c r="D237" s="31" t="str">
        <f>IF(LEN(TRIM(A237))=0,"",COUNTIFS(Students!E:E, A237))</f>
        <v/>
      </c>
      <c r="E237" s="31" t="str">
        <f>IF(LEN(TRIM(A237))=0,"",COUNTIFS(Students!E:E, A237, Students!D:D, "&gt;=0"))</f>
        <v/>
      </c>
      <c r="F237" s="31" t="str">
        <f t="shared" si="6"/>
        <v/>
      </c>
      <c r="G237" s="6" t="str">
        <f t="shared" si="7"/>
        <v/>
      </c>
    </row>
    <row r="238" spans="4:7" x14ac:dyDescent="0.2">
      <c r="D238" s="31" t="str">
        <f>IF(LEN(TRIM(A238))=0,"",COUNTIFS(Students!E:E, A238))</f>
        <v/>
      </c>
      <c r="E238" s="31" t="str">
        <f>IF(LEN(TRIM(A238))=0,"",COUNTIFS(Students!E:E, A238, Students!D:D, "&gt;=0"))</f>
        <v/>
      </c>
      <c r="F238" s="31" t="str">
        <f t="shared" si="6"/>
        <v/>
      </c>
      <c r="G238" s="6" t="str">
        <f t="shared" si="7"/>
        <v/>
      </c>
    </row>
    <row r="239" spans="4:7" x14ac:dyDescent="0.2">
      <c r="D239" s="31" t="str">
        <f>IF(LEN(TRIM(A239))=0,"",COUNTIFS(Students!E:E, A239))</f>
        <v/>
      </c>
      <c r="E239" s="31" t="str">
        <f>IF(LEN(TRIM(A239))=0,"",COUNTIFS(Students!E:E, A239, Students!D:D, "&gt;=0"))</f>
        <v/>
      </c>
      <c r="F239" s="31" t="str">
        <f t="shared" si="6"/>
        <v/>
      </c>
      <c r="G239" s="6" t="str">
        <f t="shared" si="7"/>
        <v/>
      </c>
    </row>
    <row r="240" spans="4:7" x14ac:dyDescent="0.2">
      <c r="D240" s="31" t="str">
        <f>IF(LEN(TRIM(A240))=0,"",COUNTIFS(Students!E:E, A240))</f>
        <v/>
      </c>
      <c r="E240" s="31" t="str">
        <f>IF(LEN(TRIM(A240))=0,"",COUNTIFS(Students!E:E, A240, Students!D:D, "&gt;=0"))</f>
        <v/>
      </c>
      <c r="F240" s="31" t="str">
        <f t="shared" si="6"/>
        <v/>
      </c>
      <c r="G240" s="6" t="str">
        <f t="shared" si="7"/>
        <v/>
      </c>
    </row>
    <row r="241" spans="4:7" x14ac:dyDescent="0.2">
      <c r="D241" s="31" t="str">
        <f>IF(LEN(TRIM(A241))=0,"",COUNTIFS(Students!E:E, A241))</f>
        <v/>
      </c>
      <c r="E241" s="31" t="str">
        <f>IF(LEN(TRIM(A241))=0,"",COUNTIFS(Students!E:E, A241, Students!D:D, "&gt;=0"))</f>
        <v/>
      </c>
      <c r="F241" s="31" t="str">
        <f t="shared" si="6"/>
        <v/>
      </c>
      <c r="G241" s="6" t="str">
        <f t="shared" si="7"/>
        <v/>
      </c>
    </row>
    <row r="242" spans="4:7" x14ac:dyDescent="0.2">
      <c r="D242" s="31" t="str">
        <f>IF(LEN(TRIM(A242))=0,"",COUNTIFS(Students!E:E, A242))</f>
        <v/>
      </c>
      <c r="E242" s="31" t="str">
        <f>IF(LEN(TRIM(A242))=0,"",COUNTIFS(Students!E:E, A242, Students!D:D, "&gt;=0"))</f>
        <v/>
      </c>
      <c r="F242" s="31" t="str">
        <f t="shared" si="6"/>
        <v/>
      </c>
      <c r="G242" s="6" t="str">
        <f t="shared" si="7"/>
        <v/>
      </c>
    </row>
    <row r="243" spans="4:7" x14ac:dyDescent="0.2">
      <c r="D243" s="31" t="str">
        <f>IF(LEN(TRIM(A243))=0,"",COUNTIFS(Students!E:E, A243))</f>
        <v/>
      </c>
      <c r="E243" s="31" t="str">
        <f>IF(LEN(TRIM(A243))=0,"",COUNTIFS(Students!E:E, A243, Students!D:D, "&gt;=0"))</f>
        <v/>
      </c>
      <c r="F243" s="31" t="str">
        <f t="shared" si="6"/>
        <v/>
      </c>
      <c r="G243" s="6" t="str">
        <f t="shared" si="7"/>
        <v/>
      </c>
    </row>
    <row r="244" spans="4:7" x14ac:dyDescent="0.2">
      <c r="D244" s="31" t="str">
        <f>IF(LEN(TRIM(A244))=0,"",COUNTIFS(Students!E:E, A244))</f>
        <v/>
      </c>
      <c r="E244" s="31" t="str">
        <f>IF(LEN(TRIM(A244))=0,"",COUNTIFS(Students!E:E, A244, Students!D:D, "&gt;=0"))</f>
        <v/>
      </c>
      <c r="F244" s="31" t="str">
        <f t="shared" si="6"/>
        <v/>
      </c>
      <c r="G244" s="6" t="str">
        <f t="shared" si="7"/>
        <v/>
      </c>
    </row>
    <row r="245" spans="4:7" x14ac:dyDescent="0.2">
      <c r="D245" s="31" t="str">
        <f>IF(LEN(TRIM(A245))=0,"",COUNTIFS(Students!E:E, A245))</f>
        <v/>
      </c>
      <c r="E245" s="31" t="str">
        <f>IF(LEN(TRIM(A245))=0,"",COUNTIFS(Students!E:E, A245, Students!D:D, "&gt;=0"))</f>
        <v/>
      </c>
      <c r="F245" s="31" t="str">
        <f t="shared" si="6"/>
        <v/>
      </c>
      <c r="G245" s="6" t="str">
        <f t="shared" si="7"/>
        <v/>
      </c>
    </row>
    <row r="246" spans="4:7" x14ac:dyDescent="0.2">
      <c r="D246" s="31" t="str">
        <f>IF(LEN(TRIM(A246))=0,"",COUNTIFS(Students!E:E, A246))</f>
        <v/>
      </c>
      <c r="E246" s="31" t="str">
        <f>IF(LEN(TRIM(A246))=0,"",COUNTIFS(Students!E:E, A246, Students!D:D, "&gt;=0"))</f>
        <v/>
      </c>
      <c r="F246" s="31" t="str">
        <f t="shared" si="6"/>
        <v/>
      </c>
      <c r="G246" s="6" t="str">
        <f t="shared" si="7"/>
        <v/>
      </c>
    </row>
    <row r="247" spans="4:7" x14ac:dyDescent="0.2">
      <c r="D247" s="31" t="str">
        <f>IF(LEN(TRIM(A247))=0,"",COUNTIFS(Students!E:E, A247))</f>
        <v/>
      </c>
      <c r="E247" s="31" t="str">
        <f>IF(LEN(TRIM(A247))=0,"",COUNTIFS(Students!E:E, A247, Students!D:D, "&gt;=0"))</f>
        <v/>
      </c>
      <c r="F247" s="31" t="str">
        <f t="shared" si="6"/>
        <v/>
      </c>
      <c r="G247" s="6" t="str">
        <f t="shared" si="7"/>
        <v/>
      </c>
    </row>
    <row r="248" spans="4:7" x14ac:dyDescent="0.2">
      <c r="D248" s="31" t="str">
        <f>IF(LEN(TRIM(A248))=0,"",COUNTIFS(Students!E:E, A248))</f>
        <v/>
      </c>
      <c r="E248" s="31" t="str">
        <f>IF(LEN(TRIM(A248))=0,"",COUNTIFS(Students!E:E, A248, Students!D:D, "&gt;=0"))</f>
        <v/>
      </c>
      <c r="F248" s="31" t="str">
        <f t="shared" si="6"/>
        <v/>
      </c>
      <c r="G248" s="6" t="str">
        <f t="shared" si="7"/>
        <v/>
      </c>
    </row>
    <row r="249" spans="4:7" x14ac:dyDescent="0.2">
      <c r="D249" s="31" t="str">
        <f>IF(LEN(TRIM(A249))=0,"",COUNTIFS(Students!E:E, A249))</f>
        <v/>
      </c>
      <c r="E249" s="31" t="str">
        <f>IF(LEN(TRIM(A249))=0,"",COUNTIFS(Students!E:E, A249, Students!D:D, "&gt;=0"))</f>
        <v/>
      </c>
      <c r="F249" s="31" t="str">
        <f t="shared" si="6"/>
        <v/>
      </c>
      <c r="G249" s="6" t="str">
        <f t="shared" si="7"/>
        <v/>
      </c>
    </row>
    <row r="250" spans="4:7" x14ac:dyDescent="0.2">
      <c r="D250" s="31" t="str">
        <f>IF(LEN(TRIM(A250))=0,"",COUNTIFS(Students!E:E, A250))</f>
        <v/>
      </c>
      <c r="E250" s="31" t="str">
        <f>IF(LEN(TRIM(A250))=0,"",COUNTIFS(Students!E:E, A250, Students!D:D, "&gt;=0"))</f>
        <v/>
      </c>
      <c r="F250" s="31" t="str">
        <f t="shared" si="6"/>
        <v/>
      </c>
      <c r="G250" s="6" t="str">
        <f t="shared" si="7"/>
        <v/>
      </c>
    </row>
    <row r="251" spans="4:7" x14ac:dyDescent="0.2">
      <c r="D251" s="31" t="str">
        <f>IF(LEN(TRIM(A251))=0,"",COUNTIFS(Students!E:E, A251))</f>
        <v/>
      </c>
      <c r="E251" s="31" t="str">
        <f>IF(LEN(TRIM(A251))=0,"",COUNTIFS(Students!E:E, A251, Students!D:D, "&gt;=0"))</f>
        <v/>
      </c>
      <c r="F251" s="31" t="str">
        <f t="shared" si="6"/>
        <v/>
      </c>
      <c r="G251" s="6" t="str">
        <f t="shared" si="7"/>
        <v/>
      </c>
    </row>
    <row r="252" spans="4:7" x14ac:dyDescent="0.2">
      <c r="D252" s="31" t="str">
        <f>IF(LEN(TRIM(A252))=0,"",COUNTIFS(Students!E:E, A252))</f>
        <v/>
      </c>
      <c r="E252" s="31" t="str">
        <f>IF(LEN(TRIM(A252))=0,"",COUNTIFS(Students!E:E, A252, Students!D:D, "&gt;=0"))</f>
        <v/>
      </c>
      <c r="F252" s="31" t="str">
        <f t="shared" si="6"/>
        <v/>
      </c>
      <c r="G252" s="6" t="str">
        <f t="shared" si="7"/>
        <v/>
      </c>
    </row>
    <row r="253" spans="4:7" x14ac:dyDescent="0.2">
      <c r="D253" s="31" t="str">
        <f>IF(LEN(TRIM(A253))=0,"",COUNTIFS(Students!E:E, A253))</f>
        <v/>
      </c>
      <c r="E253" s="31" t="str">
        <f>IF(LEN(TRIM(A253))=0,"",COUNTIFS(Students!E:E, A253, Students!D:D, "&gt;=0"))</f>
        <v/>
      </c>
      <c r="F253" s="31" t="str">
        <f t="shared" si="6"/>
        <v/>
      </c>
      <c r="G253" s="6" t="str">
        <f t="shared" si="7"/>
        <v/>
      </c>
    </row>
    <row r="254" spans="4:7" x14ac:dyDescent="0.2">
      <c r="D254" s="31" t="str">
        <f>IF(LEN(TRIM(A254))=0,"",COUNTIFS(Students!E:E, A254))</f>
        <v/>
      </c>
      <c r="E254" s="31" t="str">
        <f>IF(LEN(TRIM(A254))=0,"",COUNTIFS(Students!E:E, A254, Students!D:D, "&gt;=0"))</f>
        <v/>
      </c>
      <c r="F254" s="31" t="str">
        <f t="shared" si="6"/>
        <v/>
      </c>
      <c r="G254" s="6" t="str">
        <f t="shared" si="7"/>
        <v/>
      </c>
    </row>
    <row r="255" spans="4:7" x14ac:dyDescent="0.2">
      <c r="D255" s="31" t="str">
        <f>IF(LEN(TRIM(A255))=0,"",COUNTIFS(Students!E:E, A255))</f>
        <v/>
      </c>
      <c r="E255" s="31" t="str">
        <f>IF(LEN(TRIM(A255))=0,"",COUNTIFS(Students!E:E, A255, Students!D:D, "&gt;=0"))</f>
        <v/>
      </c>
      <c r="F255" s="31" t="str">
        <f t="shared" si="6"/>
        <v/>
      </c>
      <c r="G255" s="6" t="str">
        <f t="shared" si="7"/>
        <v/>
      </c>
    </row>
    <row r="256" spans="4:7" x14ac:dyDescent="0.2">
      <c r="D256" s="31" t="str">
        <f>IF(LEN(TRIM(A256))=0,"",COUNTIFS(Students!E:E, A256))</f>
        <v/>
      </c>
      <c r="E256" s="31" t="str">
        <f>IF(LEN(TRIM(A256))=0,"",COUNTIFS(Students!E:E, A256, Students!D:D, "&gt;=0"))</f>
        <v/>
      </c>
      <c r="F256" s="31" t="str">
        <f t="shared" si="6"/>
        <v/>
      </c>
      <c r="G256" s="6" t="str">
        <f t="shared" si="7"/>
        <v/>
      </c>
    </row>
    <row r="257" spans="4:7" x14ac:dyDescent="0.2">
      <c r="D257" s="31" t="str">
        <f>IF(LEN(TRIM(A257))=0,"",COUNTIFS(Students!E:E, A257))</f>
        <v/>
      </c>
      <c r="E257" s="31" t="str">
        <f>IF(LEN(TRIM(A257))=0,"",COUNTIFS(Students!E:E, A257, Students!D:D, "&gt;=0"))</f>
        <v/>
      </c>
      <c r="F257" s="31" t="str">
        <f t="shared" si="6"/>
        <v/>
      </c>
      <c r="G257" s="6" t="str">
        <f t="shared" si="7"/>
        <v/>
      </c>
    </row>
    <row r="258" spans="4:7" x14ac:dyDescent="0.2">
      <c r="D258" s="31" t="str">
        <f>IF(LEN(TRIM(A258))=0,"",COUNTIFS(Students!E:E, A258))</f>
        <v/>
      </c>
      <c r="E258" s="31" t="str">
        <f>IF(LEN(TRIM(A258))=0,"",COUNTIFS(Students!E:E, A258, Students!D:D, "&gt;=0"))</f>
        <v/>
      </c>
      <c r="F258" s="31" t="str">
        <f t="shared" si="6"/>
        <v/>
      </c>
      <c r="G258" s="6" t="str">
        <f t="shared" si="7"/>
        <v/>
      </c>
    </row>
    <row r="259" spans="4:7" x14ac:dyDescent="0.2">
      <c r="D259" s="31" t="str">
        <f>IF(LEN(TRIM(A259))=0,"",COUNTIFS(Students!E:E, A259))</f>
        <v/>
      </c>
      <c r="E259" s="31" t="str">
        <f>IF(LEN(TRIM(A259))=0,"",COUNTIFS(Students!E:E, A259, Students!D:D, "&gt;=0"))</f>
        <v/>
      </c>
      <c r="F259" s="31" t="str">
        <f t="shared" ref="F259:F322" si="8">IFERROR(D259-E259,"")</f>
        <v/>
      </c>
      <c r="G259" s="6" t="str">
        <f t="shared" ref="G259:G322" si="9">IFERROR(IF(D259=0, "N/A", E259/D259),"")</f>
        <v/>
      </c>
    </row>
    <row r="260" spans="4:7" x14ac:dyDescent="0.2">
      <c r="D260" s="31" t="str">
        <f>IF(LEN(TRIM(A260))=0,"",COUNTIFS(Students!E:E, A260))</f>
        <v/>
      </c>
      <c r="E260" s="31" t="str">
        <f>IF(LEN(TRIM(A260))=0,"",COUNTIFS(Students!E:E, A260, Students!D:D, "&gt;=0"))</f>
        <v/>
      </c>
      <c r="F260" s="31" t="str">
        <f t="shared" si="8"/>
        <v/>
      </c>
      <c r="G260" s="6" t="str">
        <f t="shared" si="9"/>
        <v/>
      </c>
    </row>
    <row r="261" spans="4:7" x14ac:dyDescent="0.2">
      <c r="D261" s="31" t="str">
        <f>IF(LEN(TRIM(A261))=0,"",COUNTIFS(Students!E:E, A261))</f>
        <v/>
      </c>
      <c r="E261" s="31" t="str">
        <f>IF(LEN(TRIM(A261))=0,"",COUNTIFS(Students!E:E, A261, Students!D:D, "&gt;=0"))</f>
        <v/>
      </c>
      <c r="F261" s="31" t="str">
        <f t="shared" si="8"/>
        <v/>
      </c>
      <c r="G261" s="6" t="str">
        <f t="shared" si="9"/>
        <v/>
      </c>
    </row>
    <row r="262" spans="4:7" x14ac:dyDescent="0.2">
      <c r="D262" s="31" t="str">
        <f>IF(LEN(TRIM(A262))=0,"",COUNTIFS(Students!E:E, A262))</f>
        <v/>
      </c>
      <c r="E262" s="31" t="str">
        <f>IF(LEN(TRIM(A262))=0,"",COUNTIFS(Students!E:E, A262, Students!D:D, "&gt;=0"))</f>
        <v/>
      </c>
      <c r="F262" s="31" t="str">
        <f t="shared" si="8"/>
        <v/>
      </c>
      <c r="G262" s="6" t="str">
        <f t="shared" si="9"/>
        <v/>
      </c>
    </row>
    <row r="263" spans="4:7" x14ac:dyDescent="0.2">
      <c r="D263" s="31" t="str">
        <f>IF(LEN(TRIM(A263))=0,"",COUNTIFS(Students!E:E, A263))</f>
        <v/>
      </c>
      <c r="E263" s="31" t="str">
        <f>IF(LEN(TRIM(A263))=0,"",COUNTIFS(Students!E:E, A263, Students!D:D, "&gt;=0"))</f>
        <v/>
      </c>
      <c r="F263" s="31" t="str">
        <f t="shared" si="8"/>
        <v/>
      </c>
      <c r="G263" s="6" t="str">
        <f t="shared" si="9"/>
        <v/>
      </c>
    </row>
    <row r="264" spans="4:7" x14ac:dyDescent="0.2">
      <c r="D264" s="31" t="str">
        <f>IF(LEN(TRIM(A264))=0,"",COUNTIFS(Students!E:E, A264))</f>
        <v/>
      </c>
      <c r="E264" s="31" t="str">
        <f>IF(LEN(TRIM(A264))=0,"",COUNTIFS(Students!E:E, A264, Students!D:D, "&gt;=0"))</f>
        <v/>
      </c>
      <c r="F264" s="31" t="str">
        <f t="shared" si="8"/>
        <v/>
      </c>
      <c r="G264" s="6" t="str">
        <f t="shared" si="9"/>
        <v/>
      </c>
    </row>
    <row r="265" spans="4:7" x14ac:dyDescent="0.2">
      <c r="D265" s="31" t="str">
        <f>IF(LEN(TRIM(A265))=0,"",COUNTIFS(Students!E:E, A265))</f>
        <v/>
      </c>
      <c r="E265" s="31" t="str">
        <f>IF(LEN(TRIM(A265))=0,"",COUNTIFS(Students!E:E, A265, Students!D:D, "&gt;=0"))</f>
        <v/>
      </c>
      <c r="F265" s="31" t="str">
        <f t="shared" si="8"/>
        <v/>
      </c>
      <c r="G265" s="6" t="str">
        <f t="shared" si="9"/>
        <v/>
      </c>
    </row>
    <row r="266" spans="4:7" x14ac:dyDescent="0.2">
      <c r="D266" s="31" t="str">
        <f>IF(LEN(TRIM(A266))=0,"",COUNTIFS(Students!E:E, A266))</f>
        <v/>
      </c>
      <c r="E266" s="31" t="str">
        <f>IF(LEN(TRIM(A266))=0,"",COUNTIFS(Students!E:E, A266, Students!D:D, "&gt;=0"))</f>
        <v/>
      </c>
      <c r="F266" s="31" t="str">
        <f t="shared" si="8"/>
        <v/>
      </c>
      <c r="G266" s="6" t="str">
        <f t="shared" si="9"/>
        <v/>
      </c>
    </row>
    <row r="267" spans="4:7" x14ac:dyDescent="0.2">
      <c r="D267" s="31" t="str">
        <f>IF(LEN(TRIM(A267))=0,"",COUNTIFS(Students!E:E, A267))</f>
        <v/>
      </c>
      <c r="E267" s="31" t="str">
        <f>IF(LEN(TRIM(A267))=0,"",COUNTIFS(Students!E:E, A267, Students!D:D, "&gt;=0"))</f>
        <v/>
      </c>
      <c r="F267" s="31" t="str">
        <f t="shared" si="8"/>
        <v/>
      </c>
      <c r="G267" s="6" t="str">
        <f t="shared" si="9"/>
        <v/>
      </c>
    </row>
    <row r="268" spans="4:7" x14ac:dyDescent="0.2">
      <c r="D268" s="31" t="str">
        <f>IF(LEN(TRIM(A268))=0,"",COUNTIFS(Students!E:E, A268))</f>
        <v/>
      </c>
      <c r="E268" s="31" t="str">
        <f>IF(LEN(TRIM(A268))=0,"",COUNTIFS(Students!E:E, A268, Students!D:D, "&gt;=0"))</f>
        <v/>
      </c>
      <c r="F268" s="31" t="str">
        <f t="shared" si="8"/>
        <v/>
      </c>
      <c r="G268" s="6" t="str">
        <f t="shared" si="9"/>
        <v/>
      </c>
    </row>
    <row r="269" spans="4:7" x14ac:dyDescent="0.2">
      <c r="D269" s="31" t="str">
        <f>IF(LEN(TRIM(A269))=0,"",COUNTIFS(Students!E:E, A269))</f>
        <v/>
      </c>
      <c r="E269" s="31" t="str">
        <f>IF(LEN(TRIM(A269))=0,"",COUNTIFS(Students!E:E, A269, Students!D:D, "&gt;=0"))</f>
        <v/>
      </c>
      <c r="F269" s="31" t="str">
        <f t="shared" si="8"/>
        <v/>
      </c>
      <c r="G269" s="6" t="str">
        <f t="shared" si="9"/>
        <v/>
      </c>
    </row>
    <row r="270" spans="4:7" x14ac:dyDescent="0.2">
      <c r="D270" s="31" t="str">
        <f>IF(LEN(TRIM(A270))=0,"",COUNTIFS(Students!E:E, A270))</f>
        <v/>
      </c>
      <c r="E270" s="31" t="str">
        <f>IF(LEN(TRIM(A270))=0,"",COUNTIFS(Students!E:E, A270, Students!D:D, "&gt;=0"))</f>
        <v/>
      </c>
      <c r="F270" s="31" t="str">
        <f t="shared" si="8"/>
        <v/>
      </c>
      <c r="G270" s="6" t="str">
        <f t="shared" si="9"/>
        <v/>
      </c>
    </row>
    <row r="271" spans="4:7" x14ac:dyDescent="0.2">
      <c r="D271" s="31" t="str">
        <f>IF(LEN(TRIM(A271))=0,"",COUNTIFS(Students!E:E, A271))</f>
        <v/>
      </c>
      <c r="E271" s="31" t="str">
        <f>IF(LEN(TRIM(A271))=0,"",COUNTIFS(Students!E:E, A271, Students!D:D, "&gt;=0"))</f>
        <v/>
      </c>
      <c r="F271" s="31" t="str">
        <f t="shared" si="8"/>
        <v/>
      </c>
      <c r="G271" s="6" t="str">
        <f t="shared" si="9"/>
        <v/>
      </c>
    </row>
    <row r="272" spans="4:7" x14ac:dyDescent="0.2">
      <c r="D272" s="31" t="str">
        <f>IF(LEN(TRIM(A272))=0,"",COUNTIFS(Students!E:E, A272))</f>
        <v/>
      </c>
      <c r="E272" s="31" t="str">
        <f>IF(LEN(TRIM(A272))=0,"",COUNTIFS(Students!E:E, A272, Students!D:D, "&gt;=0"))</f>
        <v/>
      </c>
      <c r="F272" s="31" t="str">
        <f t="shared" si="8"/>
        <v/>
      </c>
      <c r="G272" s="6" t="str">
        <f t="shared" si="9"/>
        <v/>
      </c>
    </row>
    <row r="273" spans="4:7" x14ac:dyDescent="0.2">
      <c r="D273" s="31" t="str">
        <f>IF(LEN(TRIM(A273))=0,"",COUNTIFS(Students!E:E, A273))</f>
        <v/>
      </c>
      <c r="E273" s="31" t="str">
        <f>IF(LEN(TRIM(A273))=0,"",COUNTIFS(Students!E:E, A273, Students!D:D, "&gt;=0"))</f>
        <v/>
      </c>
      <c r="F273" s="31" t="str">
        <f t="shared" si="8"/>
        <v/>
      </c>
      <c r="G273" s="6" t="str">
        <f t="shared" si="9"/>
        <v/>
      </c>
    </row>
    <row r="274" spans="4:7" x14ac:dyDescent="0.2">
      <c r="D274" s="31" t="str">
        <f>IF(LEN(TRIM(A274))=0,"",COUNTIFS(Students!E:E, A274))</f>
        <v/>
      </c>
      <c r="E274" s="31" t="str">
        <f>IF(LEN(TRIM(A274))=0,"",COUNTIFS(Students!E:E, A274, Students!D:D, "&gt;=0"))</f>
        <v/>
      </c>
      <c r="F274" s="31" t="str">
        <f t="shared" si="8"/>
        <v/>
      </c>
      <c r="G274" s="6" t="str">
        <f t="shared" si="9"/>
        <v/>
      </c>
    </row>
    <row r="275" spans="4:7" x14ac:dyDescent="0.2">
      <c r="D275" s="31" t="str">
        <f>IF(LEN(TRIM(A275))=0,"",COUNTIFS(Students!E:E, A275))</f>
        <v/>
      </c>
      <c r="E275" s="31" t="str">
        <f>IF(LEN(TRIM(A275))=0,"",COUNTIFS(Students!E:E, A275, Students!D:D, "&gt;=0"))</f>
        <v/>
      </c>
      <c r="F275" s="31" t="str">
        <f t="shared" si="8"/>
        <v/>
      </c>
      <c r="G275" s="6" t="str">
        <f t="shared" si="9"/>
        <v/>
      </c>
    </row>
    <row r="276" spans="4:7" x14ac:dyDescent="0.2">
      <c r="D276" s="31" t="str">
        <f>IF(LEN(TRIM(A276))=0,"",COUNTIFS(Students!E:E, A276))</f>
        <v/>
      </c>
      <c r="E276" s="31" t="str">
        <f>IF(LEN(TRIM(A276))=0,"",COUNTIFS(Students!E:E, A276, Students!D:D, "&gt;=0"))</f>
        <v/>
      </c>
      <c r="F276" s="31" t="str">
        <f t="shared" si="8"/>
        <v/>
      </c>
      <c r="G276" s="6" t="str">
        <f t="shared" si="9"/>
        <v/>
      </c>
    </row>
    <row r="277" spans="4:7" x14ac:dyDescent="0.2">
      <c r="D277" s="31" t="str">
        <f>IF(LEN(TRIM(A277))=0,"",COUNTIFS(Students!E:E, A277))</f>
        <v/>
      </c>
      <c r="E277" s="31" t="str">
        <f>IF(LEN(TRIM(A277))=0,"",COUNTIFS(Students!E:E, A277, Students!D:D, "&gt;=0"))</f>
        <v/>
      </c>
      <c r="F277" s="31" t="str">
        <f t="shared" si="8"/>
        <v/>
      </c>
      <c r="G277" s="6" t="str">
        <f t="shared" si="9"/>
        <v/>
      </c>
    </row>
    <row r="278" spans="4:7" x14ac:dyDescent="0.2">
      <c r="D278" s="31" t="str">
        <f>IF(LEN(TRIM(A278))=0,"",COUNTIFS(Students!E:E, A278))</f>
        <v/>
      </c>
      <c r="E278" s="31" t="str">
        <f>IF(LEN(TRIM(A278))=0,"",COUNTIFS(Students!E:E, A278, Students!D:D, "&gt;=0"))</f>
        <v/>
      </c>
      <c r="F278" s="31" t="str">
        <f t="shared" si="8"/>
        <v/>
      </c>
      <c r="G278" s="6" t="str">
        <f t="shared" si="9"/>
        <v/>
      </c>
    </row>
    <row r="279" spans="4:7" x14ac:dyDescent="0.2">
      <c r="D279" s="31" t="str">
        <f>IF(LEN(TRIM(A279))=0,"",COUNTIFS(Students!E:E, A279))</f>
        <v/>
      </c>
      <c r="E279" s="31" t="str">
        <f>IF(LEN(TRIM(A279))=0,"",COUNTIFS(Students!E:E, A279, Students!D:D, "&gt;=0"))</f>
        <v/>
      </c>
      <c r="F279" s="31" t="str">
        <f t="shared" si="8"/>
        <v/>
      </c>
      <c r="G279" s="6" t="str">
        <f t="shared" si="9"/>
        <v/>
      </c>
    </row>
    <row r="280" spans="4:7" x14ac:dyDescent="0.2">
      <c r="D280" s="31" t="str">
        <f>IF(LEN(TRIM(A280))=0,"",COUNTIFS(Students!E:E, A280))</f>
        <v/>
      </c>
      <c r="E280" s="31" t="str">
        <f>IF(LEN(TRIM(A280))=0,"",COUNTIFS(Students!E:E, A280, Students!D:D, "&gt;=0"))</f>
        <v/>
      </c>
      <c r="F280" s="31" t="str">
        <f t="shared" si="8"/>
        <v/>
      </c>
      <c r="G280" s="6" t="str">
        <f t="shared" si="9"/>
        <v/>
      </c>
    </row>
    <row r="281" spans="4:7" x14ac:dyDescent="0.2">
      <c r="D281" s="31" t="str">
        <f>IF(LEN(TRIM(A281))=0,"",COUNTIFS(Students!E:E, A281))</f>
        <v/>
      </c>
      <c r="E281" s="31" t="str">
        <f>IF(LEN(TRIM(A281))=0,"",COUNTIFS(Students!E:E, A281, Students!D:D, "&gt;=0"))</f>
        <v/>
      </c>
      <c r="F281" s="31" t="str">
        <f t="shared" si="8"/>
        <v/>
      </c>
      <c r="G281" s="6" t="str">
        <f t="shared" si="9"/>
        <v/>
      </c>
    </row>
    <row r="282" spans="4:7" x14ac:dyDescent="0.2">
      <c r="D282" s="31" t="str">
        <f>IF(LEN(TRIM(A282))=0,"",COUNTIFS(Students!E:E, A282))</f>
        <v/>
      </c>
      <c r="E282" s="31" t="str">
        <f>IF(LEN(TRIM(A282))=0,"",COUNTIFS(Students!E:E, A282, Students!D:D, "&gt;=0"))</f>
        <v/>
      </c>
      <c r="F282" s="31" t="str">
        <f t="shared" si="8"/>
        <v/>
      </c>
      <c r="G282" s="6" t="str">
        <f t="shared" si="9"/>
        <v/>
      </c>
    </row>
    <row r="283" spans="4:7" x14ac:dyDescent="0.2">
      <c r="D283" s="31" t="str">
        <f>IF(LEN(TRIM(A283))=0,"",COUNTIFS(Students!E:E, A283))</f>
        <v/>
      </c>
      <c r="E283" s="31" t="str">
        <f>IF(LEN(TRIM(A283))=0,"",COUNTIFS(Students!E:E, A283, Students!D:D, "&gt;=0"))</f>
        <v/>
      </c>
      <c r="F283" s="31" t="str">
        <f t="shared" si="8"/>
        <v/>
      </c>
      <c r="G283" s="6" t="str">
        <f t="shared" si="9"/>
        <v/>
      </c>
    </row>
    <row r="284" spans="4:7" x14ac:dyDescent="0.2">
      <c r="D284" s="31" t="str">
        <f>IF(LEN(TRIM(A284))=0,"",COUNTIFS(Students!E:E, A284))</f>
        <v/>
      </c>
      <c r="E284" s="31" t="str">
        <f>IF(LEN(TRIM(A284))=0,"",COUNTIFS(Students!E:E, A284, Students!D:D, "&gt;=0"))</f>
        <v/>
      </c>
      <c r="F284" s="31" t="str">
        <f t="shared" si="8"/>
        <v/>
      </c>
      <c r="G284" s="6" t="str">
        <f t="shared" si="9"/>
        <v/>
      </c>
    </row>
    <row r="285" spans="4:7" x14ac:dyDescent="0.2">
      <c r="D285" s="31" t="str">
        <f>IF(LEN(TRIM(A285))=0,"",COUNTIFS(Students!E:E, A285))</f>
        <v/>
      </c>
      <c r="E285" s="31" t="str">
        <f>IF(LEN(TRIM(A285))=0,"",COUNTIFS(Students!E:E, A285, Students!D:D, "&gt;=0"))</f>
        <v/>
      </c>
      <c r="F285" s="31" t="str">
        <f t="shared" si="8"/>
        <v/>
      </c>
      <c r="G285" s="6" t="str">
        <f t="shared" si="9"/>
        <v/>
      </c>
    </row>
    <row r="286" spans="4:7" x14ac:dyDescent="0.2">
      <c r="D286" s="31" t="str">
        <f>IF(LEN(TRIM(A286))=0,"",COUNTIFS(Students!E:E, A286))</f>
        <v/>
      </c>
      <c r="E286" s="31" t="str">
        <f>IF(LEN(TRIM(A286))=0,"",COUNTIFS(Students!E:E, A286, Students!D:D, "&gt;=0"))</f>
        <v/>
      </c>
      <c r="F286" s="31" t="str">
        <f t="shared" si="8"/>
        <v/>
      </c>
      <c r="G286" s="6" t="str">
        <f t="shared" si="9"/>
        <v/>
      </c>
    </row>
    <row r="287" spans="4:7" x14ac:dyDescent="0.2">
      <c r="D287" s="31" t="str">
        <f>IF(LEN(TRIM(A287))=0,"",COUNTIFS(Students!E:E, A287))</f>
        <v/>
      </c>
      <c r="E287" s="31" t="str">
        <f>IF(LEN(TRIM(A287))=0,"",COUNTIFS(Students!E:E, A287, Students!D:D, "&gt;=0"))</f>
        <v/>
      </c>
      <c r="F287" s="31" t="str">
        <f t="shared" si="8"/>
        <v/>
      </c>
      <c r="G287" s="6" t="str">
        <f t="shared" si="9"/>
        <v/>
      </c>
    </row>
    <row r="288" spans="4:7" x14ac:dyDescent="0.2">
      <c r="D288" s="31" t="str">
        <f>IF(LEN(TRIM(A288))=0,"",COUNTIFS(Students!E:E, A288))</f>
        <v/>
      </c>
      <c r="E288" s="31" t="str">
        <f>IF(LEN(TRIM(A288))=0,"",COUNTIFS(Students!E:E, A288, Students!D:D, "&gt;=0"))</f>
        <v/>
      </c>
      <c r="F288" s="31" t="str">
        <f t="shared" si="8"/>
        <v/>
      </c>
      <c r="G288" s="6" t="str">
        <f t="shared" si="9"/>
        <v/>
      </c>
    </row>
    <row r="289" spans="4:7" x14ac:dyDescent="0.2">
      <c r="D289" s="31" t="str">
        <f>IF(LEN(TRIM(A289))=0,"",COUNTIFS(Students!E:E, A289))</f>
        <v/>
      </c>
      <c r="E289" s="31" t="str">
        <f>IF(LEN(TRIM(A289))=0,"",COUNTIFS(Students!E:E, A289, Students!D:D, "&gt;=0"))</f>
        <v/>
      </c>
      <c r="F289" s="31" t="str">
        <f t="shared" si="8"/>
        <v/>
      </c>
      <c r="G289" s="6" t="str">
        <f t="shared" si="9"/>
        <v/>
      </c>
    </row>
    <row r="290" spans="4:7" x14ac:dyDescent="0.2">
      <c r="D290" s="31" t="str">
        <f>IF(LEN(TRIM(A290))=0,"",COUNTIFS(Students!E:E, A290))</f>
        <v/>
      </c>
      <c r="E290" s="31" t="str">
        <f>IF(LEN(TRIM(A290))=0,"",COUNTIFS(Students!E:E, A290, Students!D:D, "&gt;=0"))</f>
        <v/>
      </c>
      <c r="F290" s="31" t="str">
        <f t="shared" si="8"/>
        <v/>
      </c>
      <c r="G290" s="6" t="str">
        <f t="shared" si="9"/>
        <v/>
      </c>
    </row>
    <row r="291" spans="4:7" x14ac:dyDescent="0.2">
      <c r="D291" s="31" t="str">
        <f>IF(LEN(TRIM(A291))=0,"",COUNTIFS(Students!E:E, A291))</f>
        <v/>
      </c>
      <c r="E291" s="31" t="str">
        <f>IF(LEN(TRIM(A291))=0,"",COUNTIFS(Students!E:E, A291, Students!D:D, "&gt;=0"))</f>
        <v/>
      </c>
      <c r="F291" s="31" t="str">
        <f t="shared" si="8"/>
        <v/>
      </c>
      <c r="G291" s="6" t="str">
        <f t="shared" si="9"/>
        <v/>
      </c>
    </row>
    <row r="292" spans="4:7" x14ac:dyDescent="0.2">
      <c r="D292" s="31" t="str">
        <f>IF(LEN(TRIM(A292))=0,"",COUNTIFS(Students!E:E, A292))</f>
        <v/>
      </c>
      <c r="E292" s="31" t="str">
        <f>IF(LEN(TRIM(A292))=0,"",COUNTIFS(Students!E:E, A292, Students!D:D, "&gt;=0"))</f>
        <v/>
      </c>
      <c r="F292" s="31" t="str">
        <f t="shared" si="8"/>
        <v/>
      </c>
      <c r="G292" s="6" t="str">
        <f t="shared" si="9"/>
        <v/>
      </c>
    </row>
    <row r="293" spans="4:7" x14ac:dyDescent="0.2">
      <c r="D293" s="31" t="str">
        <f>IF(LEN(TRIM(A293))=0,"",COUNTIFS(Students!E:E, A293))</f>
        <v/>
      </c>
      <c r="E293" s="31" t="str">
        <f>IF(LEN(TRIM(A293))=0,"",COUNTIFS(Students!E:E, A293, Students!D:D, "&gt;=0"))</f>
        <v/>
      </c>
      <c r="F293" s="31" t="str">
        <f t="shared" si="8"/>
        <v/>
      </c>
      <c r="G293" s="6" t="str">
        <f t="shared" si="9"/>
        <v/>
      </c>
    </row>
    <row r="294" spans="4:7" x14ac:dyDescent="0.2">
      <c r="D294" s="31" t="str">
        <f>IF(LEN(TRIM(A294))=0,"",COUNTIFS(Students!E:E, A294))</f>
        <v/>
      </c>
      <c r="E294" s="31" t="str">
        <f>IF(LEN(TRIM(A294))=0,"",COUNTIFS(Students!E:E, A294, Students!D:D, "&gt;=0"))</f>
        <v/>
      </c>
      <c r="F294" s="31" t="str">
        <f t="shared" si="8"/>
        <v/>
      </c>
      <c r="G294" s="6" t="str">
        <f t="shared" si="9"/>
        <v/>
      </c>
    </row>
    <row r="295" spans="4:7" x14ac:dyDescent="0.2">
      <c r="D295" s="31" t="str">
        <f>IF(LEN(TRIM(A295))=0,"",COUNTIFS(Students!E:E, A295))</f>
        <v/>
      </c>
      <c r="E295" s="31" t="str">
        <f>IF(LEN(TRIM(A295))=0,"",COUNTIFS(Students!E:E, A295, Students!D:D, "&gt;=0"))</f>
        <v/>
      </c>
      <c r="F295" s="31" t="str">
        <f t="shared" si="8"/>
        <v/>
      </c>
      <c r="G295" s="6" t="str">
        <f t="shared" si="9"/>
        <v/>
      </c>
    </row>
    <row r="296" spans="4:7" x14ac:dyDescent="0.2">
      <c r="D296" s="31" t="str">
        <f>IF(LEN(TRIM(A296))=0,"",COUNTIFS(Students!E:E, A296))</f>
        <v/>
      </c>
      <c r="E296" s="31" t="str">
        <f>IF(LEN(TRIM(A296))=0,"",COUNTIFS(Students!E:E, A296, Students!D:D, "&gt;=0"))</f>
        <v/>
      </c>
      <c r="F296" s="31" t="str">
        <f t="shared" si="8"/>
        <v/>
      </c>
      <c r="G296" s="6" t="str">
        <f t="shared" si="9"/>
        <v/>
      </c>
    </row>
    <row r="297" spans="4:7" x14ac:dyDescent="0.2">
      <c r="D297" s="31" t="str">
        <f>IF(LEN(TRIM(A297))=0,"",COUNTIFS(Students!E:E, A297))</f>
        <v/>
      </c>
      <c r="E297" s="31" t="str">
        <f>IF(LEN(TRIM(A297))=0,"",COUNTIFS(Students!E:E, A297, Students!D:D, "&gt;=0"))</f>
        <v/>
      </c>
      <c r="F297" s="31" t="str">
        <f t="shared" si="8"/>
        <v/>
      </c>
      <c r="G297" s="6" t="str">
        <f t="shared" si="9"/>
        <v/>
      </c>
    </row>
    <row r="298" spans="4:7" x14ac:dyDescent="0.2">
      <c r="D298" s="31" t="str">
        <f>IF(LEN(TRIM(A298))=0,"",COUNTIFS(Students!E:E, A298))</f>
        <v/>
      </c>
      <c r="E298" s="31" t="str">
        <f>IF(LEN(TRIM(A298))=0,"",COUNTIFS(Students!E:E, A298, Students!D:D, "&gt;=0"))</f>
        <v/>
      </c>
      <c r="F298" s="31" t="str">
        <f t="shared" si="8"/>
        <v/>
      </c>
      <c r="G298" s="6" t="str">
        <f t="shared" si="9"/>
        <v/>
      </c>
    </row>
    <row r="299" spans="4:7" x14ac:dyDescent="0.2">
      <c r="D299" s="31" t="str">
        <f>IF(LEN(TRIM(A299))=0,"",COUNTIFS(Students!E:E, A299))</f>
        <v/>
      </c>
      <c r="E299" s="31" t="str">
        <f>IF(LEN(TRIM(A299))=0,"",COUNTIFS(Students!E:E, A299, Students!D:D, "&gt;=0"))</f>
        <v/>
      </c>
      <c r="F299" s="31" t="str">
        <f t="shared" si="8"/>
        <v/>
      </c>
      <c r="G299" s="6" t="str">
        <f t="shared" si="9"/>
        <v/>
      </c>
    </row>
    <row r="300" spans="4:7" x14ac:dyDescent="0.2">
      <c r="D300" s="31" t="str">
        <f>IF(LEN(TRIM(A300))=0,"",COUNTIFS(Students!E:E, A300))</f>
        <v/>
      </c>
      <c r="E300" s="31" t="str">
        <f>IF(LEN(TRIM(A300))=0,"",COUNTIFS(Students!E:E, A300, Students!D:D, "&gt;=0"))</f>
        <v/>
      </c>
      <c r="F300" s="31" t="str">
        <f t="shared" si="8"/>
        <v/>
      </c>
      <c r="G300" s="6" t="str">
        <f t="shared" si="9"/>
        <v/>
      </c>
    </row>
    <row r="301" spans="4:7" x14ac:dyDescent="0.2">
      <c r="D301" s="31" t="str">
        <f>IF(LEN(TRIM(A301))=0,"",COUNTIFS(Students!E:E, A301))</f>
        <v/>
      </c>
      <c r="E301" s="31" t="str">
        <f>IF(LEN(TRIM(A301))=0,"",COUNTIFS(Students!E:E, A301, Students!D:D, "&gt;=0"))</f>
        <v/>
      </c>
      <c r="F301" s="31" t="str">
        <f t="shared" si="8"/>
        <v/>
      </c>
      <c r="G301" s="6" t="str">
        <f t="shared" si="9"/>
        <v/>
      </c>
    </row>
    <row r="302" spans="4:7" x14ac:dyDescent="0.2">
      <c r="D302" s="31" t="str">
        <f>IF(LEN(TRIM(A302))=0,"",COUNTIFS(Students!E:E, A302))</f>
        <v/>
      </c>
      <c r="E302" s="31" t="str">
        <f>IF(LEN(TRIM(A302))=0,"",COUNTIFS(Students!E:E, A302, Students!D:D, "&gt;=0"))</f>
        <v/>
      </c>
      <c r="F302" s="31" t="str">
        <f t="shared" si="8"/>
        <v/>
      </c>
      <c r="G302" s="6" t="str">
        <f t="shared" si="9"/>
        <v/>
      </c>
    </row>
    <row r="303" spans="4:7" x14ac:dyDescent="0.2">
      <c r="D303" s="31" t="str">
        <f>IF(LEN(TRIM(A303))=0,"",COUNTIFS(Students!E:E, A303))</f>
        <v/>
      </c>
      <c r="E303" s="31" t="str">
        <f>IF(LEN(TRIM(A303))=0,"",COUNTIFS(Students!E:E, A303, Students!D:D, "&gt;=0"))</f>
        <v/>
      </c>
      <c r="F303" s="31" t="str">
        <f t="shared" si="8"/>
        <v/>
      </c>
      <c r="G303" s="6" t="str">
        <f t="shared" si="9"/>
        <v/>
      </c>
    </row>
    <row r="304" spans="4:7" x14ac:dyDescent="0.2">
      <c r="D304" s="31" t="str">
        <f>IF(LEN(TRIM(A304))=0,"",COUNTIFS(Students!E:E, A304))</f>
        <v/>
      </c>
      <c r="E304" s="31" t="str">
        <f>IF(LEN(TRIM(A304))=0,"",COUNTIFS(Students!E:E, A304, Students!D:D, "&gt;=0"))</f>
        <v/>
      </c>
      <c r="F304" s="31" t="str">
        <f t="shared" si="8"/>
        <v/>
      </c>
      <c r="G304" s="6" t="str">
        <f t="shared" si="9"/>
        <v/>
      </c>
    </row>
    <row r="305" spans="4:7" x14ac:dyDescent="0.2">
      <c r="D305" s="31" t="str">
        <f>IF(LEN(TRIM(A305))=0,"",COUNTIFS(Students!E:E, A305))</f>
        <v/>
      </c>
      <c r="E305" s="31" t="str">
        <f>IF(LEN(TRIM(A305))=0,"",COUNTIFS(Students!E:E, A305, Students!D:D, "&gt;=0"))</f>
        <v/>
      </c>
      <c r="F305" s="31" t="str">
        <f t="shared" si="8"/>
        <v/>
      </c>
      <c r="G305" s="6" t="str">
        <f t="shared" si="9"/>
        <v/>
      </c>
    </row>
    <row r="306" spans="4:7" x14ac:dyDescent="0.2">
      <c r="D306" s="31" t="str">
        <f>IF(LEN(TRIM(A306))=0,"",COUNTIFS(Students!E:E, A306))</f>
        <v/>
      </c>
      <c r="E306" s="31" t="str">
        <f>IF(LEN(TRIM(A306))=0,"",COUNTIFS(Students!E:E, A306, Students!D:D, "&gt;=0"))</f>
        <v/>
      </c>
      <c r="F306" s="31" t="str">
        <f t="shared" si="8"/>
        <v/>
      </c>
      <c r="G306" s="6" t="str">
        <f t="shared" si="9"/>
        <v/>
      </c>
    </row>
    <row r="307" spans="4:7" x14ac:dyDescent="0.2">
      <c r="D307" s="31" t="str">
        <f>IF(LEN(TRIM(A307))=0,"",COUNTIFS(Students!E:E, A307))</f>
        <v/>
      </c>
      <c r="E307" s="31" t="str">
        <f>IF(LEN(TRIM(A307))=0,"",COUNTIFS(Students!E:E, A307, Students!D:D, "&gt;=0"))</f>
        <v/>
      </c>
      <c r="F307" s="31" t="str">
        <f t="shared" si="8"/>
        <v/>
      </c>
      <c r="G307" s="6" t="str">
        <f t="shared" si="9"/>
        <v/>
      </c>
    </row>
    <row r="308" spans="4:7" x14ac:dyDescent="0.2">
      <c r="D308" s="31" t="str">
        <f>IF(LEN(TRIM(A308))=0,"",COUNTIFS(Students!E:E, A308))</f>
        <v/>
      </c>
      <c r="E308" s="31" t="str">
        <f>IF(LEN(TRIM(A308))=0,"",COUNTIFS(Students!E:E, A308, Students!D:D, "&gt;=0"))</f>
        <v/>
      </c>
      <c r="F308" s="31" t="str">
        <f t="shared" si="8"/>
        <v/>
      </c>
      <c r="G308" s="6" t="str">
        <f t="shared" si="9"/>
        <v/>
      </c>
    </row>
    <row r="309" spans="4:7" x14ac:dyDescent="0.2">
      <c r="D309" s="31" t="str">
        <f>IF(LEN(TRIM(A309))=0,"",COUNTIFS(Students!E:E, A309))</f>
        <v/>
      </c>
      <c r="E309" s="31" t="str">
        <f>IF(LEN(TRIM(A309))=0,"",COUNTIFS(Students!E:E, A309, Students!D:D, "&gt;=0"))</f>
        <v/>
      </c>
      <c r="F309" s="31" t="str">
        <f t="shared" si="8"/>
        <v/>
      </c>
      <c r="G309" s="6" t="str">
        <f t="shared" si="9"/>
        <v/>
      </c>
    </row>
    <row r="310" spans="4:7" x14ac:dyDescent="0.2">
      <c r="D310" s="31" t="str">
        <f>IF(LEN(TRIM(A310))=0,"",COUNTIFS(Students!E:E, A310))</f>
        <v/>
      </c>
      <c r="E310" s="31" t="str">
        <f>IF(LEN(TRIM(A310))=0,"",COUNTIFS(Students!E:E, A310, Students!D:D, "&gt;=0"))</f>
        <v/>
      </c>
      <c r="F310" s="31" t="str">
        <f t="shared" si="8"/>
        <v/>
      </c>
      <c r="G310" s="6" t="str">
        <f t="shared" si="9"/>
        <v/>
      </c>
    </row>
    <row r="311" spans="4:7" x14ac:dyDescent="0.2">
      <c r="D311" s="31" t="str">
        <f>IF(LEN(TRIM(A311))=0,"",COUNTIFS(Students!E:E, A311))</f>
        <v/>
      </c>
      <c r="E311" s="31" t="str">
        <f>IF(LEN(TRIM(A311))=0,"",COUNTIFS(Students!E:E, A311, Students!D:D, "&gt;=0"))</f>
        <v/>
      </c>
      <c r="F311" s="31" t="str">
        <f t="shared" si="8"/>
        <v/>
      </c>
      <c r="G311" s="6" t="str">
        <f t="shared" si="9"/>
        <v/>
      </c>
    </row>
    <row r="312" spans="4:7" x14ac:dyDescent="0.2">
      <c r="D312" s="31" t="str">
        <f>IF(LEN(TRIM(A312))=0,"",COUNTIFS(Students!E:E, A312))</f>
        <v/>
      </c>
      <c r="E312" s="31" t="str">
        <f>IF(LEN(TRIM(A312))=0,"",COUNTIFS(Students!E:E, A312, Students!D:D, "&gt;=0"))</f>
        <v/>
      </c>
      <c r="F312" s="31" t="str">
        <f t="shared" si="8"/>
        <v/>
      </c>
      <c r="G312" s="6" t="str">
        <f t="shared" si="9"/>
        <v/>
      </c>
    </row>
    <row r="313" spans="4:7" x14ac:dyDescent="0.2">
      <c r="D313" s="31" t="str">
        <f>IF(LEN(TRIM(A313))=0,"",COUNTIFS(Students!E:E, A313))</f>
        <v/>
      </c>
      <c r="E313" s="31" t="str">
        <f>IF(LEN(TRIM(A313))=0,"",COUNTIFS(Students!E:E, A313, Students!D:D, "&gt;=0"))</f>
        <v/>
      </c>
      <c r="F313" s="31" t="str">
        <f t="shared" si="8"/>
        <v/>
      </c>
      <c r="G313" s="6" t="str">
        <f t="shared" si="9"/>
        <v/>
      </c>
    </row>
    <row r="314" spans="4:7" x14ac:dyDescent="0.2">
      <c r="D314" s="31" t="str">
        <f>IF(LEN(TRIM(A314))=0,"",COUNTIFS(Students!E:E, A314))</f>
        <v/>
      </c>
      <c r="E314" s="31" t="str">
        <f>IF(LEN(TRIM(A314))=0,"",COUNTIFS(Students!E:E, A314, Students!D:D, "&gt;=0"))</f>
        <v/>
      </c>
      <c r="F314" s="31" t="str">
        <f t="shared" si="8"/>
        <v/>
      </c>
      <c r="G314" s="6" t="str">
        <f t="shared" si="9"/>
        <v/>
      </c>
    </row>
    <row r="315" spans="4:7" x14ac:dyDescent="0.2">
      <c r="D315" s="31" t="str">
        <f>IF(LEN(TRIM(A315))=0,"",COUNTIFS(Students!E:E, A315))</f>
        <v/>
      </c>
      <c r="E315" s="31" t="str">
        <f>IF(LEN(TRIM(A315))=0,"",COUNTIFS(Students!E:E, A315, Students!D:D, "&gt;=0"))</f>
        <v/>
      </c>
      <c r="F315" s="31" t="str">
        <f t="shared" si="8"/>
        <v/>
      </c>
      <c r="G315" s="6" t="str">
        <f t="shared" si="9"/>
        <v/>
      </c>
    </row>
    <row r="316" spans="4:7" x14ac:dyDescent="0.2">
      <c r="D316" s="31" t="str">
        <f>IF(LEN(TRIM(A316))=0,"",COUNTIFS(Students!E:E, A316))</f>
        <v/>
      </c>
      <c r="E316" s="31" t="str">
        <f>IF(LEN(TRIM(A316))=0,"",COUNTIFS(Students!E:E, A316, Students!D:D, "&gt;=0"))</f>
        <v/>
      </c>
      <c r="F316" s="31" t="str">
        <f t="shared" si="8"/>
        <v/>
      </c>
      <c r="G316" s="6" t="str">
        <f t="shared" si="9"/>
        <v/>
      </c>
    </row>
    <row r="317" spans="4:7" x14ac:dyDescent="0.2">
      <c r="D317" s="31" t="str">
        <f>IF(LEN(TRIM(A317))=0,"",COUNTIFS(Students!E:E, A317))</f>
        <v/>
      </c>
      <c r="E317" s="31" t="str">
        <f>IF(LEN(TRIM(A317))=0,"",COUNTIFS(Students!E:E, A317, Students!D:D, "&gt;=0"))</f>
        <v/>
      </c>
      <c r="F317" s="31" t="str">
        <f t="shared" si="8"/>
        <v/>
      </c>
      <c r="G317" s="6" t="str">
        <f t="shared" si="9"/>
        <v/>
      </c>
    </row>
    <row r="318" spans="4:7" x14ac:dyDescent="0.2">
      <c r="D318" s="31" t="str">
        <f>IF(LEN(TRIM(A318))=0,"",COUNTIFS(Students!E:E, A318))</f>
        <v/>
      </c>
      <c r="E318" s="31" t="str">
        <f>IF(LEN(TRIM(A318))=0,"",COUNTIFS(Students!E:E, A318, Students!D:D, "&gt;=0"))</f>
        <v/>
      </c>
      <c r="F318" s="31" t="str">
        <f t="shared" si="8"/>
        <v/>
      </c>
      <c r="G318" s="6" t="str">
        <f t="shared" si="9"/>
        <v/>
      </c>
    </row>
    <row r="319" spans="4:7" x14ac:dyDescent="0.2">
      <c r="D319" s="31" t="str">
        <f>IF(LEN(TRIM(A319))=0,"",COUNTIFS(Students!E:E, A319))</f>
        <v/>
      </c>
      <c r="E319" s="31" t="str">
        <f>IF(LEN(TRIM(A319))=0,"",COUNTIFS(Students!E:E, A319, Students!D:D, "&gt;=0"))</f>
        <v/>
      </c>
      <c r="F319" s="31" t="str">
        <f t="shared" si="8"/>
        <v/>
      </c>
      <c r="G319" s="6" t="str">
        <f t="shared" si="9"/>
        <v/>
      </c>
    </row>
    <row r="320" spans="4:7" x14ac:dyDescent="0.2">
      <c r="D320" s="31" t="str">
        <f>IF(LEN(TRIM(A320))=0,"",COUNTIFS(Students!E:E, A320))</f>
        <v/>
      </c>
      <c r="E320" s="31" t="str">
        <f>IF(LEN(TRIM(A320))=0,"",COUNTIFS(Students!E:E, A320, Students!D:D, "&gt;=0"))</f>
        <v/>
      </c>
      <c r="F320" s="31" t="str">
        <f t="shared" si="8"/>
        <v/>
      </c>
      <c r="G320" s="6" t="str">
        <f t="shared" si="9"/>
        <v/>
      </c>
    </row>
    <row r="321" spans="4:7" x14ac:dyDescent="0.2">
      <c r="D321" s="31" t="str">
        <f>IF(LEN(TRIM(A321))=0,"",COUNTIFS(Students!E:E, A321))</f>
        <v/>
      </c>
      <c r="E321" s="31" t="str">
        <f>IF(LEN(TRIM(A321))=0,"",COUNTIFS(Students!E:E, A321, Students!D:D, "&gt;=0"))</f>
        <v/>
      </c>
      <c r="F321" s="31" t="str">
        <f t="shared" si="8"/>
        <v/>
      </c>
      <c r="G321" s="6" t="str">
        <f t="shared" si="9"/>
        <v/>
      </c>
    </row>
    <row r="322" spans="4:7" x14ac:dyDescent="0.2">
      <c r="D322" s="31" t="str">
        <f>IF(LEN(TRIM(A322))=0,"",COUNTIFS(Students!E:E, A322))</f>
        <v/>
      </c>
      <c r="E322" s="31" t="str">
        <f>IF(LEN(TRIM(A322))=0,"",COUNTIFS(Students!E:E, A322, Students!D:D, "&gt;=0"))</f>
        <v/>
      </c>
      <c r="F322" s="31" t="str">
        <f t="shared" si="8"/>
        <v/>
      </c>
      <c r="G322" s="6" t="str">
        <f t="shared" si="9"/>
        <v/>
      </c>
    </row>
    <row r="323" spans="4:7" x14ac:dyDescent="0.2">
      <c r="D323" s="31" t="str">
        <f>IF(LEN(TRIM(A323))=0,"",COUNTIFS(Students!E:E, A323))</f>
        <v/>
      </c>
      <c r="E323" s="31" t="str">
        <f>IF(LEN(TRIM(A323))=0,"",COUNTIFS(Students!E:E, A323, Students!D:D, "&gt;=0"))</f>
        <v/>
      </c>
      <c r="F323" s="31" t="str">
        <f t="shared" ref="F323:F386" si="10">IFERROR(D323-E323,"")</f>
        <v/>
      </c>
      <c r="G323" s="6" t="str">
        <f t="shared" ref="G323:G386" si="11">IFERROR(IF(D323=0, "N/A", E323/D323),"")</f>
        <v/>
      </c>
    </row>
    <row r="324" spans="4:7" x14ac:dyDescent="0.2">
      <c r="D324" s="31" t="str">
        <f>IF(LEN(TRIM(A324))=0,"",COUNTIFS(Students!E:E, A324))</f>
        <v/>
      </c>
      <c r="E324" s="31" t="str">
        <f>IF(LEN(TRIM(A324))=0,"",COUNTIFS(Students!E:E, A324, Students!D:D, "&gt;=0"))</f>
        <v/>
      </c>
      <c r="F324" s="31" t="str">
        <f t="shared" si="10"/>
        <v/>
      </c>
      <c r="G324" s="6" t="str">
        <f t="shared" si="11"/>
        <v/>
      </c>
    </row>
    <row r="325" spans="4:7" x14ac:dyDescent="0.2">
      <c r="D325" s="31" t="str">
        <f>IF(LEN(TRIM(A325))=0,"",COUNTIFS(Students!E:E, A325))</f>
        <v/>
      </c>
      <c r="E325" s="31" t="str">
        <f>IF(LEN(TRIM(A325))=0,"",COUNTIFS(Students!E:E, A325, Students!D:D, "&gt;=0"))</f>
        <v/>
      </c>
      <c r="F325" s="31" t="str">
        <f t="shared" si="10"/>
        <v/>
      </c>
      <c r="G325" s="6" t="str">
        <f t="shared" si="11"/>
        <v/>
      </c>
    </row>
    <row r="326" spans="4:7" x14ac:dyDescent="0.2">
      <c r="D326" s="31" t="str">
        <f>IF(LEN(TRIM(A326))=0,"",COUNTIFS(Students!E:E, A326))</f>
        <v/>
      </c>
      <c r="E326" s="31" t="str">
        <f>IF(LEN(TRIM(A326))=0,"",COUNTIFS(Students!E:E, A326, Students!D:D, "&gt;=0"))</f>
        <v/>
      </c>
      <c r="F326" s="31" t="str">
        <f t="shared" si="10"/>
        <v/>
      </c>
      <c r="G326" s="6" t="str">
        <f t="shared" si="11"/>
        <v/>
      </c>
    </row>
    <row r="327" spans="4:7" x14ac:dyDescent="0.2">
      <c r="D327" s="31" t="str">
        <f>IF(LEN(TRIM(A327))=0,"",COUNTIFS(Students!E:E, A327))</f>
        <v/>
      </c>
      <c r="E327" s="31" t="str">
        <f>IF(LEN(TRIM(A327))=0,"",COUNTIFS(Students!E:E, A327, Students!D:D, "&gt;=0"))</f>
        <v/>
      </c>
      <c r="F327" s="31" t="str">
        <f t="shared" si="10"/>
        <v/>
      </c>
      <c r="G327" s="6" t="str">
        <f t="shared" si="11"/>
        <v/>
      </c>
    </row>
    <row r="328" spans="4:7" x14ac:dyDescent="0.2">
      <c r="D328" s="31" t="str">
        <f>IF(LEN(TRIM(A328))=0,"",COUNTIFS(Students!E:E, A328))</f>
        <v/>
      </c>
      <c r="E328" s="31" t="str">
        <f>IF(LEN(TRIM(A328))=0,"",COUNTIFS(Students!E:E, A328, Students!D:D, "&gt;=0"))</f>
        <v/>
      </c>
      <c r="F328" s="31" t="str">
        <f t="shared" si="10"/>
        <v/>
      </c>
      <c r="G328" s="6" t="str">
        <f t="shared" si="11"/>
        <v/>
      </c>
    </row>
    <row r="329" spans="4:7" x14ac:dyDescent="0.2">
      <c r="D329" s="31" t="str">
        <f>IF(LEN(TRIM(A329))=0,"",COUNTIFS(Students!E:E, A329))</f>
        <v/>
      </c>
      <c r="E329" s="31" t="str">
        <f>IF(LEN(TRIM(A329))=0,"",COUNTIFS(Students!E:E, A329, Students!D:D, "&gt;=0"))</f>
        <v/>
      </c>
      <c r="F329" s="31" t="str">
        <f t="shared" si="10"/>
        <v/>
      </c>
      <c r="G329" s="6" t="str">
        <f t="shared" si="11"/>
        <v/>
      </c>
    </row>
    <row r="330" spans="4:7" x14ac:dyDescent="0.2">
      <c r="D330" s="31" t="str">
        <f>IF(LEN(TRIM(A330))=0,"",COUNTIFS(Students!E:E, A330))</f>
        <v/>
      </c>
      <c r="E330" s="31" t="str">
        <f>IF(LEN(TRIM(A330))=0,"",COUNTIFS(Students!E:E, A330, Students!D:D, "&gt;=0"))</f>
        <v/>
      </c>
      <c r="F330" s="31" t="str">
        <f t="shared" si="10"/>
        <v/>
      </c>
      <c r="G330" s="6" t="str">
        <f t="shared" si="11"/>
        <v/>
      </c>
    </row>
    <row r="331" spans="4:7" x14ac:dyDescent="0.2">
      <c r="D331" s="31" t="str">
        <f>IF(LEN(TRIM(A331))=0,"",COUNTIFS(Students!E:E, A331))</f>
        <v/>
      </c>
      <c r="E331" s="31" t="str">
        <f>IF(LEN(TRIM(A331))=0,"",COUNTIFS(Students!E:E, A331, Students!D:D, "&gt;=0"))</f>
        <v/>
      </c>
      <c r="F331" s="31" t="str">
        <f t="shared" si="10"/>
        <v/>
      </c>
      <c r="G331" s="6" t="str">
        <f t="shared" si="11"/>
        <v/>
      </c>
    </row>
    <row r="332" spans="4:7" x14ac:dyDescent="0.2">
      <c r="D332" s="31" t="str">
        <f>IF(LEN(TRIM(A332))=0,"",COUNTIFS(Students!E:E, A332))</f>
        <v/>
      </c>
      <c r="E332" s="31" t="str">
        <f>IF(LEN(TRIM(A332))=0,"",COUNTIFS(Students!E:E, A332, Students!D:D, "&gt;=0"))</f>
        <v/>
      </c>
      <c r="F332" s="31" t="str">
        <f t="shared" si="10"/>
        <v/>
      </c>
      <c r="G332" s="6" t="str">
        <f t="shared" si="11"/>
        <v/>
      </c>
    </row>
    <row r="333" spans="4:7" x14ac:dyDescent="0.2">
      <c r="D333" s="31" t="str">
        <f>IF(LEN(TRIM(A333))=0,"",COUNTIFS(Students!E:E, A333))</f>
        <v/>
      </c>
      <c r="E333" s="31" t="str">
        <f>IF(LEN(TRIM(A333))=0,"",COUNTIFS(Students!E:E, A333, Students!D:D, "&gt;=0"))</f>
        <v/>
      </c>
      <c r="F333" s="31" t="str">
        <f t="shared" si="10"/>
        <v/>
      </c>
      <c r="G333" s="6" t="str">
        <f t="shared" si="11"/>
        <v/>
      </c>
    </row>
    <row r="334" spans="4:7" x14ac:dyDescent="0.2">
      <c r="D334" s="31" t="str">
        <f>IF(LEN(TRIM(A334))=0,"",COUNTIFS(Students!E:E, A334))</f>
        <v/>
      </c>
      <c r="E334" s="31" t="str">
        <f>IF(LEN(TRIM(A334))=0,"",COUNTIFS(Students!E:E, A334, Students!D:D, "&gt;=0"))</f>
        <v/>
      </c>
      <c r="F334" s="31" t="str">
        <f t="shared" si="10"/>
        <v/>
      </c>
      <c r="G334" s="6" t="str">
        <f t="shared" si="11"/>
        <v/>
      </c>
    </row>
    <row r="335" spans="4:7" x14ac:dyDescent="0.2">
      <c r="D335" s="31" t="str">
        <f>IF(LEN(TRIM(A335))=0,"",COUNTIFS(Students!E:E, A335))</f>
        <v/>
      </c>
      <c r="E335" s="31" t="str">
        <f>IF(LEN(TRIM(A335))=0,"",COUNTIFS(Students!E:E, A335, Students!D:D, "&gt;=0"))</f>
        <v/>
      </c>
      <c r="F335" s="31" t="str">
        <f t="shared" si="10"/>
        <v/>
      </c>
      <c r="G335" s="6" t="str">
        <f t="shared" si="11"/>
        <v/>
      </c>
    </row>
    <row r="336" spans="4:7" x14ac:dyDescent="0.2">
      <c r="D336" s="31" t="str">
        <f>IF(LEN(TRIM(A336))=0,"",COUNTIFS(Students!E:E, A336))</f>
        <v/>
      </c>
      <c r="E336" s="31" t="str">
        <f>IF(LEN(TRIM(A336))=0,"",COUNTIFS(Students!E:E, A336, Students!D:D, "&gt;=0"))</f>
        <v/>
      </c>
      <c r="F336" s="31" t="str">
        <f t="shared" si="10"/>
        <v/>
      </c>
      <c r="G336" s="6" t="str">
        <f t="shared" si="11"/>
        <v/>
      </c>
    </row>
    <row r="337" spans="4:7" x14ac:dyDescent="0.2">
      <c r="D337" s="31" t="str">
        <f>IF(LEN(TRIM(A337))=0,"",COUNTIFS(Students!E:E, A337))</f>
        <v/>
      </c>
      <c r="E337" s="31" t="str">
        <f>IF(LEN(TRIM(A337))=0,"",COUNTIFS(Students!E:E, A337, Students!D:D, "&gt;=0"))</f>
        <v/>
      </c>
      <c r="F337" s="31" t="str">
        <f t="shared" si="10"/>
        <v/>
      </c>
      <c r="G337" s="6" t="str">
        <f t="shared" si="11"/>
        <v/>
      </c>
    </row>
    <row r="338" spans="4:7" x14ac:dyDescent="0.2">
      <c r="D338" s="31" t="str">
        <f>IF(LEN(TRIM(A338))=0,"",COUNTIFS(Students!E:E, A338))</f>
        <v/>
      </c>
      <c r="E338" s="31" t="str">
        <f>IF(LEN(TRIM(A338))=0,"",COUNTIFS(Students!E:E, A338, Students!D:D, "&gt;=0"))</f>
        <v/>
      </c>
      <c r="F338" s="31" t="str">
        <f t="shared" si="10"/>
        <v/>
      </c>
      <c r="G338" s="6" t="str">
        <f t="shared" si="11"/>
        <v/>
      </c>
    </row>
    <row r="339" spans="4:7" x14ac:dyDescent="0.2">
      <c r="D339" s="31" t="str">
        <f>IF(LEN(TRIM(A339))=0,"",COUNTIFS(Students!E:E, A339))</f>
        <v/>
      </c>
      <c r="E339" s="31" t="str">
        <f>IF(LEN(TRIM(A339))=0,"",COUNTIFS(Students!E:E, A339, Students!D:D, "&gt;=0"))</f>
        <v/>
      </c>
      <c r="F339" s="31" t="str">
        <f t="shared" si="10"/>
        <v/>
      </c>
      <c r="G339" s="6" t="str">
        <f t="shared" si="11"/>
        <v/>
      </c>
    </row>
    <row r="340" spans="4:7" x14ac:dyDescent="0.2">
      <c r="D340" s="31" t="str">
        <f>IF(LEN(TRIM(A340))=0,"",COUNTIFS(Students!E:E, A340))</f>
        <v/>
      </c>
      <c r="E340" s="31" t="str">
        <f>IF(LEN(TRIM(A340))=0,"",COUNTIFS(Students!E:E, A340, Students!D:D, "&gt;=0"))</f>
        <v/>
      </c>
      <c r="F340" s="31" t="str">
        <f t="shared" si="10"/>
        <v/>
      </c>
      <c r="G340" s="6" t="str">
        <f t="shared" si="11"/>
        <v/>
      </c>
    </row>
    <row r="341" spans="4:7" x14ac:dyDescent="0.2">
      <c r="D341" s="31" t="str">
        <f>IF(LEN(TRIM(A341))=0,"",COUNTIFS(Students!E:E, A341))</f>
        <v/>
      </c>
      <c r="E341" s="31" t="str">
        <f>IF(LEN(TRIM(A341))=0,"",COUNTIFS(Students!E:E, A341, Students!D:D, "&gt;=0"))</f>
        <v/>
      </c>
      <c r="F341" s="31" t="str">
        <f t="shared" si="10"/>
        <v/>
      </c>
      <c r="G341" s="6" t="str">
        <f t="shared" si="11"/>
        <v/>
      </c>
    </row>
    <row r="342" spans="4:7" x14ac:dyDescent="0.2">
      <c r="D342" s="31" t="str">
        <f>IF(LEN(TRIM(A342))=0,"",COUNTIFS(Students!E:E, A342))</f>
        <v/>
      </c>
      <c r="E342" s="31" t="str">
        <f>IF(LEN(TRIM(A342))=0,"",COUNTIFS(Students!E:E, A342, Students!D:D, "&gt;=0"))</f>
        <v/>
      </c>
      <c r="F342" s="31" t="str">
        <f t="shared" si="10"/>
        <v/>
      </c>
      <c r="G342" s="6" t="str">
        <f t="shared" si="11"/>
        <v/>
      </c>
    </row>
    <row r="343" spans="4:7" x14ac:dyDescent="0.2">
      <c r="D343" s="31" t="str">
        <f>IF(LEN(TRIM(A343))=0,"",COUNTIFS(Students!E:E, A343))</f>
        <v/>
      </c>
      <c r="E343" s="31" t="str">
        <f>IF(LEN(TRIM(A343))=0,"",COUNTIFS(Students!E:E, A343, Students!D:D, "&gt;=0"))</f>
        <v/>
      </c>
      <c r="F343" s="31" t="str">
        <f t="shared" si="10"/>
        <v/>
      </c>
      <c r="G343" s="6" t="str">
        <f t="shared" si="11"/>
        <v/>
      </c>
    </row>
    <row r="344" spans="4:7" x14ac:dyDescent="0.2">
      <c r="D344" s="31" t="str">
        <f>IF(LEN(TRIM(A344))=0,"",COUNTIFS(Students!E:E, A344))</f>
        <v/>
      </c>
      <c r="E344" s="31" t="str">
        <f>IF(LEN(TRIM(A344))=0,"",COUNTIFS(Students!E:E, A344, Students!D:D, "&gt;=0"))</f>
        <v/>
      </c>
      <c r="F344" s="31" t="str">
        <f t="shared" si="10"/>
        <v/>
      </c>
      <c r="G344" s="6" t="str">
        <f t="shared" si="11"/>
        <v/>
      </c>
    </row>
    <row r="345" spans="4:7" x14ac:dyDescent="0.2">
      <c r="D345" s="31" t="str">
        <f>IF(LEN(TRIM(A345))=0,"",COUNTIFS(Students!E:E, A345))</f>
        <v/>
      </c>
      <c r="E345" s="31" t="str">
        <f>IF(LEN(TRIM(A345))=0,"",COUNTIFS(Students!E:E, A345, Students!D:D, "&gt;=0"))</f>
        <v/>
      </c>
      <c r="F345" s="31" t="str">
        <f t="shared" si="10"/>
        <v/>
      </c>
      <c r="G345" s="6" t="str">
        <f t="shared" si="11"/>
        <v/>
      </c>
    </row>
    <row r="346" spans="4:7" x14ac:dyDescent="0.2">
      <c r="D346" s="31" t="str">
        <f>IF(LEN(TRIM(A346))=0,"",COUNTIFS(Students!E:E, A346))</f>
        <v/>
      </c>
      <c r="E346" s="31" t="str">
        <f>IF(LEN(TRIM(A346))=0,"",COUNTIFS(Students!E:E, A346, Students!D:D, "&gt;=0"))</f>
        <v/>
      </c>
      <c r="F346" s="31" t="str">
        <f t="shared" si="10"/>
        <v/>
      </c>
      <c r="G346" s="6" t="str">
        <f t="shared" si="11"/>
        <v/>
      </c>
    </row>
    <row r="347" spans="4:7" x14ac:dyDescent="0.2">
      <c r="D347" s="31" t="str">
        <f>IF(LEN(TRIM(A347))=0,"",COUNTIFS(Students!E:E, A347))</f>
        <v/>
      </c>
      <c r="E347" s="31" t="str">
        <f>IF(LEN(TRIM(A347))=0,"",COUNTIFS(Students!E:E, A347, Students!D:D, "&gt;=0"))</f>
        <v/>
      </c>
      <c r="F347" s="31" t="str">
        <f t="shared" si="10"/>
        <v/>
      </c>
      <c r="G347" s="6" t="str">
        <f t="shared" si="11"/>
        <v/>
      </c>
    </row>
    <row r="348" spans="4:7" x14ac:dyDescent="0.2">
      <c r="D348" s="31" t="str">
        <f>IF(LEN(TRIM(A348))=0,"",COUNTIFS(Students!E:E, A348))</f>
        <v/>
      </c>
      <c r="E348" s="31" t="str">
        <f>IF(LEN(TRIM(A348))=0,"",COUNTIFS(Students!E:E, A348, Students!D:D, "&gt;=0"))</f>
        <v/>
      </c>
      <c r="F348" s="31" t="str">
        <f t="shared" si="10"/>
        <v/>
      </c>
      <c r="G348" s="6" t="str">
        <f t="shared" si="11"/>
        <v/>
      </c>
    </row>
    <row r="349" spans="4:7" x14ac:dyDescent="0.2">
      <c r="D349" s="31" t="str">
        <f>IF(LEN(TRIM(A349))=0,"",COUNTIFS(Students!E:E, A349))</f>
        <v/>
      </c>
      <c r="E349" s="31" t="str">
        <f>IF(LEN(TRIM(A349))=0,"",COUNTIFS(Students!E:E, A349, Students!D:D, "&gt;=0"))</f>
        <v/>
      </c>
      <c r="F349" s="31" t="str">
        <f t="shared" si="10"/>
        <v/>
      </c>
      <c r="G349" s="6" t="str">
        <f t="shared" si="11"/>
        <v/>
      </c>
    </row>
    <row r="350" spans="4:7" x14ac:dyDescent="0.2">
      <c r="D350" s="31" t="str">
        <f>IF(LEN(TRIM(A350))=0,"",COUNTIFS(Students!E:E, A350))</f>
        <v/>
      </c>
      <c r="E350" s="31" t="str">
        <f>IF(LEN(TRIM(A350))=0,"",COUNTIFS(Students!E:E, A350, Students!D:D, "&gt;=0"))</f>
        <v/>
      </c>
      <c r="F350" s="31" t="str">
        <f t="shared" si="10"/>
        <v/>
      </c>
      <c r="G350" s="6" t="str">
        <f t="shared" si="11"/>
        <v/>
      </c>
    </row>
    <row r="351" spans="4:7" x14ac:dyDescent="0.2">
      <c r="D351" s="31" t="str">
        <f>IF(LEN(TRIM(A351))=0,"",COUNTIFS(Students!E:E, A351))</f>
        <v/>
      </c>
      <c r="E351" s="31" t="str">
        <f>IF(LEN(TRIM(A351))=0,"",COUNTIFS(Students!E:E, A351, Students!D:D, "&gt;=0"))</f>
        <v/>
      </c>
      <c r="F351" s="31" t="str">
        <f t="shared" si="10"/>
        <v/>
      </c>
      <c r="G351" s="6" t="str">
        <f t="shared" si="11"/>
        <v/>
      </c>
    </row>
    <row r="352" spans="4:7" x14ac:dyDescent="0.2">
      <c r="D352" s="31" t="str">
        <f>IF(LEN(TRIM(A352))=0,"",COUNTIFS(Students!E:E, A352))</f>
        <v/>
      </c>
      <c r="E352" s="31" t="str">
        <f>IF(LEN(TRIM(A352))=0,"",COUNTIFS(Students!E:E, A352, Students!D:D, "&gt;=0"))</f>
        <v/>
      </c>
      <c r="F352" s="31" t="str">
        <f t="shared" si="10"/>
        <v/>
      </c>
      <c r="G352" s="6" t="str">
        <f t="shared" si="11"/>
        <v/>
      </c>
    </row>
    <row r="353" spans="4:7" x14ac:dyDescent="0.2">
      <c r="D353" s="31" t="str">
        <f>IF(LEN(TRIM(A353))=0,"",COUNTIFS(Students!E:E, A353))</f>
        <v/>
      </c>
      <c r="E353" s="31" t="str">
        <f>IF(LEN(TRIM(A353))=0,"",COUNTIFS(Students!E:E, A353, Students!D:D, "&gt;=0"))</f>
        <v/>
      </c>
      <c r="F353" s="31" t="str">
        <f t="shared" si="10"/>
        <v/>
      </c>
      <c r="G353" s="6" t="str">
        <f t="shared" si="11"/>
        <v/>
      </c>
    </row>
    <row r="354" spans="4:7" x14ac:dyDescent="0.2">
      <c r="D354" s="31" t="str">
        <f>IF(LEN(TRIM(A354))=0,"",COUNTIFS(Students!E:E, A354))</f>
        <v/>
      </c>
      <c r="E354" s="31" t="str">
        <f>IF(LEN(TRIM(A354))=0,"",COUNTIFS(Students!E:E, A354, Students!D:D, "&gt;=0"))</f>
        <v/>
      </c>
      <c r="F354" s="31" t="str">
        <f t="shared" si="10"/>
        <v/>
      </c>
      <c r="G354" s="6" t="str">
        <f t="shared" si="11"/>
        <v/>
      </c>
    </row>
    <row r="355" spans="4:7" x14ac:dyDescent="0.2">
      <c r="D355" s="31" t="str">
        <f>IF(LEN(TRIM(A355))=0,"",COUNTIFS(Students!E:E, A355))</f>
        <v/>
      </c>
      <c r="E355" s="31" t="str">
        <f>IF(LEN(TRIM(A355))=0,"",COUNTIFS(Students!E:E, A355, Students!D:D, "&gt;=0"))</f>
        <v/>
      </c>
      <c r="F355" s="31" t="str">
        <f t="shared" si="10"/>
        <v/>
      </c>
      <c r="G355" s="6" t="str">
        <f t="shared" si="11"/>
        <v/>
      </c>
    </row>
    <row r="356" spans="4:7" x14ac:dyDescent="0.2">
      <c r="D356" s="31" t="str">
        <f>IF(LEN(TRIM(A356))=0,"",COUNTIFS(Students!E:E, A356))</f>
        <v/>
      </c>
      <c r="E356" s="31" t="str">
        <f>IF(LEN(TRIM(A356))=0,"",COUNTIFS(Students!E:E, A356, Students!D:D, "&gt;=0"))</f>
        <v/>
      </c>
      <c r="F356" s="31" t="str">
        <f t="shared" si="10"/>
        <v/>
      </c>
      <c r="G356" s="6" t="str">
        <f t="shared" si="11"/>
        <v/>
      </c>
    </row>
    <row r="357" spans="4:7" x14ac:dyDescent="0.2">
      <c r="D357" s="31" t="str">
        <f>IF(LEN(TRIM(A357))=0,"",COUNTIFS(Students!E:E, A357))</f>
        <v/>
      </c>
      <c r="E357" s="31" t="str">
        <f>IF(LEN(TRIM(A357))=0,"",COUNTIFS(Students!E:E, A357, Students!D:D, "&gt;=0"))</f>
        <v/>
      </c>
      <c r="F357" s="31" t="str">
        <f t="shared" si="10"/>
        <v/>
      </c>
      <c r="G357" s="6" t="str">
        <f t="shared" si="11"/>
        <v/>
      </c>
    </row>
    <row r="358" spans="4:7" x14ac:dyDescent="0.2">
      <c r="D358" s="31" t="str">
        <f>IF(LEN(TRIM(A358))=0,"",COUNTIFS(Students!E:E, A358))</f>
        <v/>
      </c>
      <c r="E358" s="31" t="str">
        <f>IF(LEN(TRIM(A358))=0,"",COUNTIFS(Students!E:E, A358, Students!D:D, "&gt;=0"))</f>
        <v/>
      </c>
      <c r="F358" s="31" t="str">
        <f t="shared" si="10"/>
        <v/>
      </c>
      <c r="G358" s="6" t="str">
        <f t="shared" si="11"/>
        <v/>
      </c>
    </row>
    <row r="359" spans="4:7" x14ac:dyDescent="0.2">
      <c r="D359" s="31" t="str">
        <f>IF(LEN(TRIM(A359))=0,"",COUNTIFS(Students!E:E, A359))</f>
        <v/>
      </c>
      <c r="E359" s="31" t="str">
        <f>IF(LEN(TRIM(A359))=0,"",COUNTIFS(Students!E:E, A359, Students!D:D, "&gt;=0"))</f>
        <v/>
      </c>
      <c r="F359" s="31" t="str">
        <f t="shared" si="10"/>
        <v/>
      </c>
      <c r="G359" s="6" t="str">
        <f t="shared" si="11"/>
        <v/>
      </c>
    </row>
    <row r="360" spans="4:7" x14ac:dyDescent="0.2">
      <c r="D360" s="31" t="str">
        <f>IF(LEN(TRIM(A360))=0,"",COUNTIFS(Students!E:E, A360))</f>
        <v/>
      </c>
      <c r="E360" s="31" t="str">
        <f>IF(LEN(TRIM(A360))=0,"",COUNTIFS(Students!E:E, A360, Students!D:D, "&gt;=0"))</f>
        <v/>
      </c>
      <c r="F360" s="31" t="str">
        <f t="shared" si="10"/>
        <v/>
      </c>
      <c r="G360" s="6" t="str">
        <f t="shared" si="11"/>
        <v/>
      </c>
    </row>
    <row r="361" spans="4:7" x14ac:dyDescent="0.2">
      <c r="D361" s="31" t="str">
        <f>IF(LEN(TRIM(A361))=0,"",COUNTIFS(Students!E:E, A361))</f>
        <v/>
      </c>
      <c r="E361" s="31" t="str">
        <f>IF(LEN(TRIM(A361))=0,"",COUNTIFS(Students!E:E, A361, Students!D:D, "&gt;=0"))</f>
        <v/>
      </c>
      <c r="F361" s="31" t="str">
        <f t="shared" si="10"/>
        <v/>
      </c>
      <c r="G361" s="6" t="str">
        <f t="shared" si="11"/>
        <v/>
      </c>
    </row>
    <row r="362" spans="4:7" x14ac:dyDescent="0.2">
      <c r="D362" s="31" t="str">
        <f>IF(LEN(TRIM(A362))=0,"",COUNTIFS(Students!E:E, A362))</f>
        <v/>
      </c>
      <c r="E362" s="31" t="str">
        <f>IF(LEN(TRIM(A362))=0,"",COUNTIFS(Students!E:E, A362, Students!D:D, "&gt;=0"))</f>
        <v/>
      </c>
      <c r="F362" s="31" t="str">
        <f t="shared" si="10"/>
        <v/>
      </c>
      <c r="G362" s="6" t="str">
        <f t="shared" si="11"/>
        <v/>
      </c>
    </row>
    <row r="363" spans="4:7" x14ac:dyDescent="0.2">
      <c r="D363" s="31" t="str">
        <f>IF(LEN(TRIM(A363))=0,"",COUNTIFS(Students!E:E, A363))</f>
        <v/>
      </c>
      <c r="E363" s="31" t="str">
        <f>IF(LEN(TRIM(A363))=0,"",COUNTIFS(Students!E:E, A363, Students!D:D, "&gt;=0"))</f>
        <v/>
      </c>
      <c r="F363" s="31" t="str">
        <f t="shared" si="10"/>
        <v/>
      </c>
      <c r="G363" s="6" t="str">
        <f t="shared" si="11"/>
        <v/>
      </c>
    </row>
    <row r="364" spans="4:7" x14ac:dyDescent="0.2">
      <c r="D364" s="31" t="str">
        <f>IF(LEN(TRIM(A364))=0,"",COUNTIFS(Students!E:E, A364))</f>
        <v/>
      </c>
      <c r="E364" s="31" t="str">
        <f>IF(LEN(TRIM(A364))=0,"",COUNTIFS(Students!E:E, A364, Students!D:D, "&gt;=0"))</f>
        <v/>
      </c>
      <c r="F364" s="31" t="str">
        <f t="shared" si="10"/>
        <v/>
      </c>
      <c r="G364" s="6" t="str">
        <f t="shared" si="11"/>
        <v/>
      </c>
    </row>
    <row r="365" spans="4:7" x14ac:dyDescent="0.2">
      <c r="D365" s="31" t="str">
        <f>IF(LEN(TRIM(A365))=0,"",COUNTIFS(Students!E:E, A365))</f>
        <v/>
      </c>
      <c r="E365" s="31" t="str">
        <f>IF(LEN(TRIM(A365))=0,"",COUNTIFS(Students!E:E, A365, Students!D:D, "&gt;=0"))</f>
        <v/>
      </c>
      <c r="F365" s="31" t="str">
        <f t="shared" si="10"/>
        <v/>
      </c>
      <c r="G365" s="6" t="str">
        <f t="shared" si="11"/>
        <v/>
      </c>
    </row>
    <row r="366" spans="4:7" x14ac:dyDescent="0.2">
      <c r="D366" s="31" t="str">
        <f>IF(LEN(TRIM(A366))=0,"",COUNTIFS(Students!E:E, A366))</f>
        <v/>
      </c>
      <c r="E366" s="31" t="str">
        <f>IF(LEN(TRIM(A366))=0,"",COUNTIFS(Students!E:E, A366, Students!D:D, "&gt;=0"))</f>
        <v/>
      </c>
      <c r="F366" s="31" t="str">
        <f t="shared" si="10"/>
        <v/>
      </c>
      <c r="G366" s="6" t="str">
        <f t="shared" si="11"/>
        <v/>
      </c>
    </row>
    <row r="367" spans="4:7" x14ac:dyDescent="0.2">
      <c r="D367" s="31" t="str">
        <f>IF(LEN(TRIM(A367))=0,"",COUNTIFS(Students!E:E, A367))</f>
        <v/>
      </c>
      <c r="E367" s="31" t="str">
        <f>IF(LEN(TRIM(A367))=0,"",COUNTIFS(Students!E:E, A367, Students!D:D, "&gt;=0"))</f>
        <v/>
      </c>
      <c r="F367" s="31" t="str">
        <f t="shared" si="10"/>
        <v/>
      </c>
      <c r="G367" s="6" t="str">
        <f t="shared" si="11"/>
        <v/>
      </c>
    </row>
    <row r="368" spans="4:7" x14ac:dyDescent="0.2">
      <c r="D368" s="31" t="str">
        <f>IF(LEN(TRIM(A368))=0,"",COUNTIFS(Students!E:E, A368))</f>
        <v/>
      </c>
      <c r="E368" s="31" t="str">
        <f>IF(LEN(TRIM(A368))=0,"",COUNTIFS(Students!E:E, A368, Students!D:D, "&gt;=0"))</f>
        <v/>
      </c>
      <c r="F368" s="31" t="str">
        <f t="shared" si="10"/>
        <v/>
      </c>
      <c r="G368" s="6" t="str">
        <f t="shared" si="11"/>
        <v/>
      </c>
    </row>
    <row r="369" spans="4:7" x14ac:dyDescent="0.2">
      <c r="D369" s="31" t="str">
        <f>IF(LEN(TRIM(A369))=0,"",COUNTIFS(Students!E:E, A369))</f>
        <v/>
      </c>
      <c r="E369" s="31" t="str">
        <f>IF(LEN(TRIM(A369))=0,"",COUNTIFS(Students!E:E, A369, Students!D:D, "&gt;=0"))</f>
        <v/>
      </c>
      <c r="F369" s="31" t="str">
        <f t="shared" si="10"/>
        <v/>
      </c>
      <c r="G369" s="6" t="str">
        <f t="shared" si="11"/>
        <v/>
      </c>
    </row>
    <row r="370" spans="4:7" x14ac:dyDescent="0.2">
      <c r="D370" s="31" t="str">
        <f>IF(LEN(TRIM(A370))=0,"",COUNTIFS(Students!E:E, A370))</f>
        <v/>
      </c>
      <c r="E370" s="31" t="str">
        <f>IF(LEN(TRIM(A370))=0,"",COUNTIFS(Students!E:E, A370, Students!D:D, "&gt;=0"))</f>
        <v/>
      </c>
      <c r="F370" s="31" t="str">
        <f t="shared" si="10"/>
        <v/>
      </c>
      <c r="G370" s="6" t="str">
        <f t="shared" si="11"/>
        <v/>
      </c>
    </row>
    <row r="371" spans="4:7" x14ac:dyDescent="0.2">
      <c r="D371" s="31" t="str">
        <f>IF(LEN(TRIM(A371))=0,"",COUNTIFS(Students!E:E, A371))</f>
        <v/>
      </c>
      <c r="E371" s="31" t="str">
        <f>IF(LEN(TRIM(A371))=0,"",COUNTIFS(Students!E:E, A371, Students!D:D, "&gt;=0"))</f>
        <v/>
      </c>
      <c r="F371" s="31" t="str">
        <f t="shared" si="10"/>
        <v/>
      </c>
      <c r="G371" s="6" t="str">
        <f t="shared" si="11"/>
        <v/>
      </c>
    </row>
    <row r="372" spans="4:7" x14ac:dyDescent="0.2">
      <c r="D372" s="31" t="str">
        <f>IF(LEN(TRIM(A372))=0,"",COUNTIFS(Students!E:E, A372))</f>
        <v/>
      </c>
      <c r="E372" s="31" t="str">
        <f>IF(LEN(TRIM(A372))=0,"",COUNTIFS(Students!E:E, A372, Students!D:D, "&gt;=0"))</f>
        <v/>
      </c>
      <c r="F372" s="31" t="str">
        <f t="shared" si="10"/>
        <v/>
      </c>
      <c r="G372" s="6" t="str">
        <f t="shared" si="11"/>
        <v/>
      </c>
    </row>
    <row r="373" spans="4:7" x14ac:dyDescent="0.2">
      <c r="D373" s="31" t="str">
        <f>IF(LEN(TRIM(A373))=0,"",COUNTIFS(Students!E:E, A373))</f>
        <v/>
      </c>
      <c r="E373" s="31" t="str">
        <f>IF(LEN(TRIM(A373))=0,"",COUNTIFS(Students!E:E, A373, Students!D:D, "&gt;=0"))</f>
        <v/>
      </c>
      <c r="F373" s="31" t="str">
        <f t="shared" si="10"/>
        <v/>
      </c>
      <c r="G373" s="6" t="str">
        <f t="shared" si="11"/>
        <v/>
      </c>
    </row>
    <row r="374" spans="4:7" x14ac:dyDescent="0.2">
      <c r="D374" s="31" t="str">
        <f>IF(LEN(TRIM(A374))=0,"",COUNTIFS(Students!E:E, A374))</f>
        <v/>
      </c>
      <c r="E374" s="31" t="str">
        <f>IF(LEN(TRIM(A374))=0,"",COUNTIFS(Students!E:E, A374, Students!D:D, "&gt;=0"))</f>
        <v/>
      </c>
      <c r="F374" s="31" t="str">
        <f t="shared" si="10"/>
        <v/>
      </c>
      <c r="G374" s="6" t="str">
        <f t="shared" si="11"/>
        <v/>
      </c>
    </row>
    <row r="375" spans="4:7" x14ac:dyDescent="0.2">
      <c r="D375" s="31" t="str">
        <f>IF(LEN(TRIM(A375))=0,"",COUNTIFS(Students!E:E, A375))</f>
        <v/>
      </c>
      <c r="E375" s="31" t="str">
        <f>IF(LEN(TRIM(A375))=0,"",COUNTIFS(Students!E:E, A375, Students!D:D, "&gt;=0"))</f>
        <v/>
      </c>
      <c r="F375" s="31" t="str">
        <f t="shared" si="10"/>
        <v/>
      </c>
      <c r="G375" s="6" t="str">
        <f t="shared" si="11"/>
        <v/>
      </c>
    </row>
    <row r="376" spans="4:7" x14ac:dyDescent="0.2">
      <c r="D376" s="31" t="str">
        <f>IF(LEN(TRIM(A376))=0,"",COUNTIFS(Students!E:E, A376))</f>
        <v/>
      </c>
      <c r="E376" s="31" t="str">
        <f>IF(LEN(TRIM(A376))=0,"",COUNTIFS(Students!E:E, A376, Students!D:D, "&gt;=0"))</f>
        <v/>
      </c>
      <c r="F376" s="31" t="str">
        <f t="shared" si="10"/>
        <v/>
      </c>
      <c r="G376" s="6" t="str">
        <f t="shared" si="11"/>
        <v/>
      </c>
    </row>
    <row r="377" spans="4:7" x14ac:dyDescent="0.2">
      <c r="D377" s="31" t="str">
        <f>IF(LEN(TRIM(A377))=0,"",COUNTIFS(Students!E:E, A377))</f>
        <v/>
      </c>
      <c r="E377" s="31" t="str">
        <f>IF(LEN(TRIM(A377))=0,"",COUNTIFS(Students!E:E, A377, Students!D:D, "&gt;=0"))</f>
        <v/>
      </c>
      <c r="F377" s="31" t="str">
        <f t="shared" si="10"/>
        <v/>
      </c>
      <c r="G377" s="6" t="str">
        <f t="shared" si="11"/>
        <v/>
      </c>
    </row>
    <row r="378" spans="4:7" x14ac:dyDescent="0.2">
      <c r="D378" s="31" t="str">
        <f>IF(LEN(TRIM(A378))=0,"",COUNTIFS(Students!E:E, A378))</f>
        <v/>
      </c>
      <c r="E378" s="31" t="str">
        <f>IF(LEN(TRIM(A378))=0,"",COUNTIFS(Students!E:E, A378, Students!D:D, "&gt;=0"))</f>
        <v/>
      </c>
      <c r="F378" s="31" t="str">
        <f t="shared" si="10"/>
        <v/>
      </c>
      <c r="G378" s="6" t="str">
        <f t="shared" si="11"/>
        <v/>
      </c>
    </row>
    <row r="379" spans="4:7" x14ac:dyDescent="0.2">
      <c r="D379" s="31" t="str">
        <f>IF(LEN(TRIM(A379))=0,"",COUNTIFS(Students!E:E, A379))</f>
        <v/>
      </c>
      <c r="E379" s="31" t="str">
        <f>IF(LEN(TRIM(A379))=0,"",COUNTIFS(Students!E:E, A379, Students!D:D, "&gt;=0"))</f>
        <v/>
      </c>
      <c r="F379" s="31" t="str">
        <f t="shared" si="10"/>
        <v/>
      </c>
      <c r="G379" s="6" t="str">
        <f t="shared" si="11"/>
        <v/>
      </c>
    </row>
    <row r="380" spans="4:7" x14ac:dyDescent="0.2">
      <c r="D380" s="31" t="str">
        <f>IF(LEN(TRIM(A380))=0,"",COUNTIFS(Students!E:E, A380))</f>
        <v/>
      </c>
      <c r="E380" s="31" t="str">
        <f>IF(LEN(TRIM(A380))=0,"",COUNTIFS(Students!E:E, A380, Students!D:D, "&gt;=0"))</f>
        <v/>
      </c>
      <c r="F380" s="31" t="str">
        <f t="shared" si="10"/>
        <v/>
      </c>
      <c r="G380" s="6" t="str">
        <f t="shared" si="11"/>
        <v/>
      </c>
    </row>
    <row r="381" spans="4:7" x14ac:dyDescent="0.2">
      <c r="D381" s="31" t="str">
        <f>IF(LEN(TRIM(A381))=0,"",COUNTIFS(Students!E:E, A381))</f>
        <v/>
      </c>
      <c r="E381" s="31" t="str">
        <f>IF(LEN(TRIM(A381))=0,"",COUNTIFS(Students!E:E, A381, Students!D:D, "&gt;=0"))</f>
        <v/>
      </c>
      <c r="F381" s="31" t="str">
        <f t="shared" si="10"/>
        <v/>
      </c>
      <c r="G381" s="6" t="str">
        <f t="shared" si="11"/>
        <v/>
      </c>
    </row>
    <row r="382" spans="4:7" x14ac:dyDescent="0.2">
      <c r="D382" s="31" t="str">
        <f>IF(LEN(TRIM(A382))=0,"",COUNTIFS(Students!E:E, A382))</f>
        <v/>
      </c>
      <c r="E382" s="31" t="str">
        <f>IF(LEN(TRIM(A382))=0,"",COUNTIFS(Students!E:E, A382, Students!D:D, "&gt;=0"))</f>
        <v/>
      </c>
      <c r="F382" s="31" t="str">
        <f t="shared" si="10"/>
        <v/>
      </c>
      <c r="G382" s="6" t="str">
        <f t="shared" si="11"/>
        <v/>
      </c>
    </row>
    <row r="383" spans="4:7" x14ac:dyDescent="0.2">
      <c r="D383" s="31" t="str">
        <f>IF(LEN(TRIM(A383))=0,"",COUNTIFS(Students!E:E, A383))</f>
        <v/>
      </c>
      <c r="E383" s="31" t="str">
        <f>IF(LEN(TRIM(A383))=0,"",COUNTIFS(Students!E:E, A383, Students!D:D, "&gt;=0"))</f>
        <v/>
      </c>
      <c r="F383" s="31" t="str">
        <f t="shared" si="10"/>
        <v/>
      </c>
      <c r="G383" s="6" t="str">
        <f t="shared" si="11"/>
        <v/>
      </c>
    </row>
    <row r="384" spans="4:7" x14ac:dyDescent="0.2">
      <c r="D384" s="31" t="str">
        <f>IF(LEN(TRIM(A384))=0,"",COUNTIFS(Students!E:E, A384))</f>
        <v/>
      </c>
      <c r="E384" s="31" t="str">
        <f>IF(LEN(TRIM(A384))=0,"",COUNTIFS(Students!E:E, A384, Students!D:D, "&gt;=0"))</f>
        <v/>
      </c>
      <c r="F384" s="31" t="str">
        <f t="shared" si="10"/>
        <v/>
      </c>
      <c r="G384" s="6" t="str">
        <f t="shared" si="11"/>
        <v/>
      </c>
    </row>
    <row r="385" spans="4:7" x14ac:dyDescent="0.2">
      <c r="D385" s="31" t="str">
        <f>IF(LEN(TRIM(A385))=0,"",COUNTIFS(Students!E:E, A385))</f>
        <v/>
      </c>
      <c r="E385" s="31" t="str">
        <f>IF(LEN(TRIM(A385))=0,"",COUNTIFS(Students!E:E, A385, Students!D:D, "&gt;=0"))</f>
        <v/>
      </c>
      <c r="F385" s="31" t="str">
        <f t="shared" si="10"/>
        <v/>
      </c>
      <c r="G385" s="6" t="str">
        <f t="shared" si="11"/>
        <v/>
      </c>
    </row>
    <row r="386" spans="4:7" x14ac:dyDescent="0.2">
      <c r="D386" s="31" t="str">
        <f>IF(LEN(TRIM(A386))=0,"",COUNTIFS(Students!E:E, A386))</f>
        <v/>
      </c>
      <c r="E386" s="31" t="str">
        <f>IF(LEN(TRIM(A386))=0,"",COUNTIFS(Students!E:E, A386, Students!D:D, "&gt;=0"))</f>
        <v/>
      </c>
      <c r="F386" s="31" t="str">
        <f t="shared" si="10"/>
        <v/>
      </c>
      <c r="G386" s="6" t="str">
        <f t="shared" si="11"/>
        <v/>
      </c>
    </row>
    <row r="387" spans="4:7" x14ac:dyDescent="0.2">
      <c r="D387" s="31" t="str">
        <f>IF(LEN(TRIM(A387))=0,"",COUNTIFS(Students!E:E, A387))</f>
        <v/>
      </c>
      <c r="E387" s="31" t="str">
        <f>IF(LEN(TRIM(A387))=0,"",COUNTIFS(Students!E:E, A387, Students!D:D, "&gt;=0"))</f>
        <v/>
      </c>
      <c r="F387" s="31" t="str">
        <f t="shared" ref="F387:F450" si="12">IFERROR(D387-E387,"")</f>
        <v/>
      </c>
      <c r="G387" s="6" t="str">
        <f t="shared" ref="G387:G450" si="13">IFERROR(IF(D387=0, "N/A", E387/D387),"")</f>
        <v/>
      </c>
    </row>
    <row r="388" spans="4:7" x14ac:dyDescent="0.2">
      <c r="D388" s="31" t="str">
        <f>IF(LEN(TRIM(A388))=0,"",COUNTIFS(Students!E:E, A388))</f>
        <v/>
      </c>
      <c r="E388" s="31" t="str">
        <f>IF(LEN(TRIM(A388))=0,"",COUNTIFS(Students!E:E, A388, Students!D:D, "&gt;=0"))</f>
        <v/>
      </c>
      <c r="F388" s="31" t="str">
        <f t="shared" si="12"/>
        <v/>
      </c>
      <c r="G388" s="6" t="str">
        <f t="shared" si="13"/>
        <v/>
      </c>
    </row>
    <row r="389" spans="4:7" x14ac:dyDescent="0.2">
      <c r="D389" s="31" t="str">
        <f>IF(LEN(TRIM(A389))=0,"",COUNTIFS(Students!E:E, A389))</f>
        <v/>
      </c>
      <c r="E389" s="31" t="str">
        <f>IF(LEN(TRIM(A389))=0,"",COUNTIFS(Students!E:E, A389, Students!D:D, "&gt;=0"))</f>
        <v/>
      </c>
      <c r="F389" s="31" t="str">
        <f t="shared" si="12"/>
        <v/>
      </c>
      <c r="G389" s="6" t="str">
        <f t="shared" si="13"/>
        <v/>
      </c>
    </row>
    <row r="390" spans="4:7" x14ac:dyDescent="0.2">
      <c r="D390" s="31" t="str">
        <f>IF(LEN(TRIM(A390))=0,"",COUNTIFS(Students!E:E, A390))</f>
        <v/>
      </c>
      <c r="E390" s="31" t="str">
        <f>IF(LEN(TRIM(A390))=0,"",COUNTIFS(Students!E:E, A390, Students!D:D, "&gt;=0"))</f>
        <v/>
      </c>
      <c r="F390" s="31" t="str">
        <f t="shared" si="12"/>
        <v/>
      </c>
      <c r="G390" s="6" t="str">
        <f t="shared" si="13"/>
        <v/>
      </c>
    </row>
    <row r="391" spans="4:7" x14ac:dyDescent="0.2">
      <c r="D391" s="31" t="str">
        <f>IF(LEN(TRIM(A391))=0,"",COUNTIFS(Students!E:E, A391))</f>
        <v/>
      </c>
      <c r="E391" s="31" t="str">
        <f>IF(LEN(TRIM(A391))=0,"",COUNTIFS(Students!E:E, A391, Students!D:D, "&gt;=0"))</f>
        <v/>
      </c>
      <c r="F391" s="31" t="str">
        <f t="shared" si="12"/>
        <v/>
      </c>
      <c r="G391" s="6" t="str">
        <f t="shared" si="13"/>
        <v/>
      </c>
    </row>
    <row r="392" spans="4:7" x14ac:dyDescent="0.2">
      <c r="D392" s="31" t="str">
        <f>IF(LEN(TRIM(A392))=0,"",COUNTIFS(Students!E:E, A392))</f>
        <v/>
      </c>
      <c r="E392" s="31" t="str">
        <f>IF(LEN(TRIM(A392))=0,"",COUNTIFS(Students!E:E, A392, Students!D:D, "&gt;=0"))</f>
        <v/>
      </c>
      <c r="F392" s="31" t="str">
        <f t="shared" si="12"/>
        <v/>
      </c>
      <c r="G392" s="6" t="str">
        <f t="shared" si="13"/>
        <v/>
      </c>
    </row>
    <row r="393" spans="4:7" x14ac:dyDescent="0.2">
      <c r="D393" s="31" t="str">
        <f>IF(LEN(TRIM(A393))=0,"",COUNTIFS(Students!E:E, A393))</f>
        <v/>
      </c>
      <c r="E393" s="31" t="str">
        <f>IF(LEN(TRIM(A393))=0,"",COUNTIFS(Students!E:E, A393, Students!D:D, "&gt;=0"))</f>
        <v/>
      </c>
      <c r="F393" s="31" t="str">
        <f t="shared" si="12"/>
        <v/>
      </c>
      <c r="G393" s="6" t="str">
        <f t="shared" si="13"/>
        <v/>
      </c>
    </row>
    <row r="394" spans="4:7" x14ac:dyDescent="0.2">
      <c r="D394" s="31" t="str">
        <f>IF(LEN(TRIM(A394))=0,"",COUNTIFS(Students!E:E, A394))</f>
        <v/>
      </c>
      <c r="E394" s="31" t="str">
        <f>IF(LEN(TRIM(A394))=0,"",COUNTIFS(Students!E:E, A394, Students!D:D, "&gt;=0"))</f>
        <v/>
      </c>
      <c r="F394" s="31" t="str">
        <f t="shared" si="12"/>
        <v/>
      </c>
      <c r="G394" s="6" t="str">
        <f t="shared" si="13"/>
        <v/>
      </c>
    </row>
    <row r="395" spans="4:7" x14ac:dyDescent="0.2">
      <c r="D395" s="31" t="str">
        <f>IF(LEN(TRIM(A395))=0,"",COUNTIFS(Students!E:E, A395))</f>
        <v/>
      </c>
      <c r="E395" s="31" t="str">
        <f>IF(LEN(TRIM(A395))=0,"",COUNTIFS(Students!E:E, A395, Students!D:D, "&gt;=0"))</f>
        <v/>
      </c>
      <c r="F395" s="31" t="str">
        <f t="shared" si="12"/>
        <v/>
      </c>
      <c r="G395" s="6" t="str">
        <f t="shared" si="13"/>
        <v/>
      </c>
    </row>
    <row r="396" spans="4:7" x14ac:dyDescent="0.2">
      <c r="D396" s="31" t="str">
        <f>IF(LEN(TRIM(A396))=0,"",COUNTIFS(Students!E:E, A396))</f>
        <v/>
      </c>
      <c r="E396" s="31" t="str">
        <f>IF(LEN(TRIM(A396))=0,"",COUNTIFS(Students!E:E, A396, Students!D:D, "&gt;=0"))</f>
        <v/>
      </c>
      <c r="F396" s="31" t="str">
        <f t="shared" si="12"/>
        <v/>
      </c>
      <c r="G396" s="6" t="str">
        <f t="shared" si="13"/>
        <v/>
      </c>
    </row>
    <row r="397" spans="4:7" x14ac:dyDescent="0.2">
      <c r="D397" s="31" t="str">
        <f>IF(LEN(TRIM(A397))=0,"",COUNTIFS(Students!E:E, A397))</f>
        <v/>
      </c>
      <c r="E397" s="31" t="str">
        <f>IF(LEN(TRIM(A397))=0,"",COUNTIFS(Students!E:E, A397, Students!D:D, "&gt;=0"))</f>
        <v/>
      </c>
      <c r="F397" s="31" t="str">
        <f t="shared" si="12"/>
        <v/>
      </c>
      <c r="G397" s="6" t="str">
        <f t="shared" si="13"/>
        <v/>
      </c>
    </row>
    <row r="398" spans="4:7" x14ac:dyDescent="0.2">
      <c r="D398" s="31" t="str">
        <f>IF(LEN(TRIM(A398))=0,"",COUNTIFS(Students!E:E, A398))</f>
        <v/>
      </c>
      <c r="E398" s="31" t="str">
        <f>IF(LEN(TRIM(A398))=0,"",COUNTIFS(Students!E:E, A398, Students!D:D, "&gt;=0"))</f>
        <v/>
      </c>
      <c r="F398" s="31" t="str">
        <f t="shared" si="12"/>
        <v/>
      </c>
      <c r="G398" s="6" t="str">
        <f t="shared" si="13"/>
        <v/>
      </c>
    </row>
    <row r="399" spans="4:7" x14ac:dyDescent="0.2">
      <c r="D399" s="31" t="str">
        <f>IF(LEN(TRIM(A399))=0,"",COUNTIFS(Students!E:E, A399))</f>
        <v/>
      </c>
      <c r="E399" s="31" t="str">
        <f>IF(LEN(TRIM(A399))=0,"",COUNTIFS(Students!E:E, A399, Students!D:D, "&gt;=0"))</f>
        <v/>
      </c>
      <c r="F399" s="31" t="str">
        <f t="shared" si="12"/>
        <v/>
      </c>
      <c r="G399" s="6" t="str">
        <f t="shared" si="13"/>
        <v/>
      </c>
    </row>
    <row r="400" spans="4:7" x14ac:dyDescent="0.2">
      <c r="D400" s="31" t="str">
        <f>IF(LEN(TRIM(A400))=0,"",COUNTIFS(Students!E:E, A400))</f>
        <v/>
      </c>
      <c r="E400" s="31" t="str">
        <f>IF(LEN(TRIM(A400))=0,"",COUNTIFS(Students!E:E, A400, Students!D:D, "&gt;=0"))</f>
        <v/>
      </c>
      <c r="F400" s="31" t="str">
        <f t="shared" si="12"/>
        <v/>
      </c>
      <c r="G400" s="6" t="str">
        <f t="shared" si="13"/>
        <v/>
      </c>
    </row>
    <row r="401" spans="4:7" x14ac:dyDescent="0.2">
      <c r="D401" s="31" t="str">
        <f>IF(LEN(TRIM(A401))=0,"",COUNTIFS(Students!E:E, A401))</f>
        <v/>
      </c>
      <c r="E401" s="31" t="str">
        <f>IF(LEN(TRIM(A401))=0,"",COUNTIFS(Students!E:E, A401, Students!D:D, "&gt;=0"))</f>
        <v/>
      </c>
      <c r="F401" s="31" t="str">
        <f t="shared" si="12"/>
        <v/>
      </c>
      <c r="G401" s="6" t="str">
        <f t="shared" si="13"/>
        <v/>
      </c>
    </row>
    <row r="402" spans="4:7" x14ac:dyDescent="0.2">
      <c r="D402" s="31" t="str">
        <f>IF(LEN(TRIM(A402))=0,"",COUNTIFS(Students!E:E, A402))</f>
        <v/>
      </c>
      <c r="E402" s="31" t="str">
        <f>IF(LEN(TRIM(A402))=0,"",COUNTIFS(Students!E:E, A402, Students!D:D, "&gt;=0"))</f>
        <v/>
      </c>
      <c r="F402" s="31" t="str">
        <f t="shared" si="12"/>
        <v/>
      </c>
      <c r="G402" s="6" t="str">
        <f t="shared" si="13"/>
        <v/>
      </c>
    </row>
    <row r="403" spans="4:7" x14ac:dyDescent="0.2">
      <c r="D403" s="31" t="str">
        <f>IF(LEN(TRIM(A403))=0,"",COUNTIFS(Students!E:E, A403))</f>
        <v/>
      </c>
      <c r="E403" s="31" t="str">
        <f>IF(LEN(TRIM(A403))=0,"",COUNTIFS(Students!E:E, A403, Students!D:D, "&gt;=0"))</f>
        <v/>
      </c>
      <c r="F403" s="31" t="str">
        <f t="shared" si="12"/>
        <v/>
      </c>
      <c r="G403" s="6" t="str">
        <f t="shared" si="13"/>
        <v/>
      </c>
    </row>
    <row r="404" spans="4:7" x14ac:dyDescent="0.2">
      <c r="D404" s="31" t="str">
        <f>IF(LEN(TRIM(A404))=0,"",COUNTIFS(Students!E:E, A404))</f>
        <v/>
      </c>
      <c r="E404" s="31" t="str">
        <f>IF(LEN(TRIM(A404))=0,"",COUNTIFS(Students!E:E, A404, Students!D:D, "&gt;=0"))</f>
        <v/>
      </c>
      <c r="F404" s="31" t="str">
        <f t="shared" si="12"/>
        <v/>
      </c>
      <c r="G404" s="6" t="str">
        <f t="shared" si="13"/>
        <v/>
      </c>
    </row>
    <row r="405" spans="4:7" x14ac:dyDescent="0.2">
      <c r="D405" s="31" t="str">
        <f>IF(LEN(TRIM(A405))=0,"",COUNTIFS(Students!E:E, A405))</f>
        <v/>
      </c>
      <c r="E405" s="31" t="str">
        <f>IF(LEN(TRIM(A405))=0,"",COUNTIFS(Students!E:E, A405, Students!D:D, "&gt;=0"))</f>
        <v/>
      </c>
      <c r="F405" s="31" t="str">
        <f t="shared" si="12"/>
        <v/>
      </c>
      <c r="G405" s="6" t="str">
        <f t="shared" si="13"/>
        <v/>
      </c>
    </row>
    <row r="406" spans="4:7" x14ac:dyDescent="0.2">
      <c r="D406" s="31" t="str">
        <f>IF(LEN(TRIM(A406))=0,"",COUNTIFS(Students!E:E, A406))</f>
        <v/>
      </c>
      <c r="E406" s="31" t="str">
        <f>IF(LEN(TRIM(A406))=0,"",COUNTIFS(Students!E:E, A406, Students!D:D, "&gt;=0"))</f>
        <v/>
      </c>
      <c r="F406" s="31" t="str">
        <f t="shared" si="12"/>
        <v/>
      </c>
      <c r="G406" s="6" t="str">
        <f t="shared" si="13"/>
        <v/>
      </c>
    </row>
    <row r="407" spans="4:7" x14ac:dyDescent="0.2">
      <c r="D407" s="31" t="str">
        <f>IF(LEN(TRIM(A407))=0,"",COUNTIFS(Students!E:E, A407))</f>
        <v/>
      </c>
      <c r="E407" s="31" t="str">
        <f>IF(LEN(TRIM(A407))=0,"",COUNTIFS(Students!E:E, A407, Students!D:D, "&gt;=0"))</f>
        <v/>
      </c>
      <c r="F407" s="31" t="str">
        <f t="shared" si="12"/>
        <v/>
      </c>
      <c r="G407" s="6" t="str">
        <f t="shared" si="13"/>
        <v/>
      </c>
    </row>
    <row r="408" spans="4:7" x14ac:dyDescent="0.2">
      <c r="D408" s="31" t="str">
        <f>IF(LEN(TRIM(A408))=0,"",COUNTIFS(Students!E:E, A408))</f>
        <v/>
      </c>
      <c r="E408" s="31" t="str">
        <f>IF(LEN(TRIM(A408))=0,"",COUNTIFS(Students!E:E, A408, Students!D:D, "&gt;=0"))</f>
        <v/>
      </c>
      <c r="F408" s="31" t="str">
        <f t="shared" si="12"/>
        <v/>
      </c>
      <c r="G408" s="6" t="str">
        <f t="shared" si="13"/>
        <v/>
      </c>
    </row>
    <row r="409" spans="4:7" x14ac:dyDescent="0.2">
      <c r="D409" s="31" t="str">
        <f>IF(LEN(TRIM(A409))=0,"",COUNTIFS(Students!E:E, A409))</f>
        <v/>
      </c>
      <c r="E409" s="31" t="str">
        <f>IF(LEN(TRIM(A409))=0,"",COUNTIFS(Students!E:E, A409, Students!D:D, "&gt;=0"))</f>
        <v/>
      </c>
      <c r="F409" s="31" t="str">
        <f t="shared" si="12"/>
        <v/>
      </c>
      <c r="G409" s="6" t="str">
        <f t="shared" si="13"/>
        <v/>
      </c>
    </row>
    <row r="410" spans="4:7" x14ac:dyDescent="0.2">
      <c r="D410" s="31" t="str">
        <f>IF(LEN(TRIM(A410))=0,"",COUNTIFS(Students!E:E, A410))</f>
        <v/>
      </c>
      <c r="E410" s="31" t="str">
        <f>IF(LEN(TRIM(A410))=0,"",COUNTIFS(Students!E:E, A410, Students!D:D, "&gt;=0"))</f>
        <v/>
      </c>
      <c r="F410" s="31" t="str">
        <f t="shared" si="12"/>
        <v/>
      </c>
      <c r="G410" s="6" t="str">
        <f t="shared" si="13"/>
        <v/>
      </c>
    </row>
    <row r="411" spans="4:7" x14ac:dyDescent="0.2">
      <c r="D411" s="31" t="str">
        <f>IF(LEN(TRIM(A411))=0,"",COUNTIFS(Students!E:E, A411))</f>
        <v/>
      </c>
      <c r="E411" s="31" t="str">
        <f>IF(LEN(TRIM(A411))=0,"",COUNTIFS(Students!E:E, A411, Students!D:D, "&gt;=0"))</f>
        <v/>
      </c>
      <c r="F411" s="31" t="str">
        <f t="shared" si="12"/>
        <v/>
      </c>
      <c r="G411" s="6" t="str">
        <f t="shared" si="13"/>
        <v/>
      </c>
    </row>
    <row r="412" spans="4:7" x14ac:dyDescent="0.2">
      <c r="D412" s="31" t="str">
        <f>IF(LEN(TRIM(A412))=0,"",COUNTIFS(Students!E:E, A412))</f>
        <v/>
      </c>
      <c r="E412" s="31" t="str">
        <f>IF(LEN(TRIM(A412))=0,"",COUNTIFS(Students!E:E, A412, Students!D:D, "&gt;=0"))</f>
        <v/>
      </c>
      <c r="F412" s="31" t="str">
        <f t="shared" si="12"/>
        <v/>
      </c>
      <c r="G412" s="6" t="str">
        <f t="shared" si="13"/>
        <v/>
      </c>
    </row>
    <row r="413" spans="4:7" x14ac:dyDescent="0.2">
      <c r="D413" s="31" t="str">
        <f>IF(LEN(TRIM(A413))=0,"",COUNTIFS(Students!E:E, A413))</f>
        <v/>
      </c>
      <c r="E413" s="31" t="str">
        <f>IF(LEN(TRIM(A413))=0,"",COUNTIFS(Students!E:E, A413, Students!D:D, "&gt;=0"))</f>
        <v/>
      </c>
      <c r="F413" s="31" t="str">
        <f t="shared" si="12"/>
        <v/>
      </c>
      <c r="G413" s="6" t="str">
        <f t="shared" si="13"/>
        <v/>
      </c>
    </row>
    <row r="414" spans="4:7" x14ac:dyDescent="0.2">
      <c r="D414" s="31" t="str">
        <f>IF(LEN(TRIM(A414))=0,"",COUNTIFS(Students!E:E, A414))</f>
        <v/>
      </c>
      <c r="E414" s="31" t="str">
        <f>IF(LEN(TRIM(A414))=0,"",COUNTIFS(Students!E:E, A414, Students!D:D, "&gt;=0"))</f>
        <v/>
      </c>
      <c r="F414" s="31" t="str">
        <f t="shared" si="12"/>
        <v/>
      </c>
      <c r="G414" s="6" t="str">
        <f t="shared" si="13"/>
        <v/>
      </c>
    </row>
    <row r="415" spans="4:7" x14ac:dyDescent="0.2">
      <c r="D415" s="31" t="str">
        <f>IF(LEN(TRIM(A415))=0,"",COUNTIFS(Students!E:E, A415))</f>
        <v/>
      </c>
      <c r="E415" s="31" t="str">
        <f>IF(LEN(TRIM(A415))=0,"",COUNTIFS(Students!E:E, A415, Students!D:D, "&gt;=0"))</f>
        <v/>
      </c>
      <c r="F415" s="31" t="str">
        <f t="shared" si="12"/>
        <v/>
      </c>
      <c r="G415" s="6" t="str">
        <f t="shared" si="13"/>
        <v/>
      </c>
    </row>
    <row r="416" spans="4:7" x14ac:dyDescent="0.2">
      <c r="D416" s="31" t="str">
        <f>IF(LEN(TRIM(A416))=0,"",COUNTIFS(Students!E:E, A416))</f>
        <v/>
      </c>
      <c r="E416" s="31" t="str">
        <f>IF(LEN(TRIM(A416))=0,"",COUNTIFS(Students!E:E, A416, Students!D:D, "&gt;=0"))</f>
        <v/>
      </c>
      <c r="F416" s="31" t="str">
        <f t="shared" si="12"/>
        <v/>
      </c>
      <c r="G416" s="6" t="str">
        <f t="shared" si="13"/>
        <v/>
      </c>
    </row>
    <row r="417" spans="4:7" x14ac:dyDescent="0.2">
      <c r="D417" s="31" t="str">
        <f>IF(LEN(TRIM(A417))=0,"",COUNTIFS(Students!E:E, A417))</f>
        <v/>
      </c>
      <c r="E417" s="31" t="str">
        <f>IF(LEN(TRIM(A417))=0,"",COUNTIFS(Students!E:E, A417, Students!D:D, "&gt;=0"))</f>
        <v/>
      </c>
      <c r="F417" s="31" t="str">
        <f t="shared" si="12"/>
        <v/>
      </c>
      <c r="G417" s="6" t="str">
        <f t="shared" si="13"/>
        <v/>
      </c>
    </row>
    <row r="418" spans="4:7" x14ac:dyDescent="0.2">
      <c r="D418" s="31" t="str">
        <f>IF(LEN(TRIM(A418))=0,"",COUNTIFS(Students!E:E, A418))</f>
        <v/>
      </c>
      <c r="E418" s="31" t="str">
        <f>IF(LEN(TRIM(A418))=0,"",COUNTIFS(Students!E:E, A418, Students!D:D, "&gt;=0"))</f>
        <v/>
      </c>
      <c r="F418" s="31" t="str">
        <f t="shared" si="12"/>
        <v/>
      </c>
      <c r="G418" s="6" t="str">
        <f t="shared" si="13"/>
        <v/>
      </c>
    </row>
    <row r="419" spans="4:7" x14ac:dyDescent="0.2">
      <c r="D419" s="31" t="str">
        <f>IF(LEN(TRIM(A419))=0,"",COUNTIFS(Students!E:E, A419))</f>
        <v/>
      </c>
      <c r="E419" s="31" t="str">
        <f>IF(LEN(TRIM(A419))=0,"",COUNTIFS(Students!E:E, A419, Students!D:D, "&gt;=0"))</f>
        <v/>
      </c>
      <c r="F419" s="31" t="str">
        <f t="shared" si="12"/>
        <v/>
      </c>
      <c r="G419" s="6" t="str">
        <f t="shared" si="13"/>
        <v/>
      </c>
    </row>
    <row r="420" spans="4:7" x14ac:dyDescent="0.2">
      <c r="D420" s="31" t="str">
        <f>IF(LEN(TRIM(A420))=0,"",COUNTIFS(Students!E:E, A420))</f>
        <v/>
      </c>
      <c r="E420" s="31" t="str">
        <f>IF(LEN(TRIM(A420))=0,"",COUNTIFS(Students!E:E, A420, Students!D:D, "&gt;=0"))</f>
        <v/>
      </c>
      <c r="F420" s="31" t="str">
        <f t="shared" si="12"/>
        <v/>
      </c>
      <c r="G420" s="6" t="str">
        <f t="shared" si="13"/>
        <v/>
      </c>
    </row>
    <row r="421" spans="4:7" x14ac:dyDescent="0.2">
      <c r="D421" s="31" t="str">
        <f>IF(LEN(TRIM(A421))=0,"",COUNTIFS(Students!E:E, A421))</f>
        <v/>
      </c>
      <c r="E421" s="31" t="str">
        <f>IF(LEN(TRIM(A421))=0,"",COUNTIFS(Students!E:E, A421, Students!D:D, "&gt;=0"))</f>
        <v/>
      </c>
      <c r="F421" s="31" t="str">
        <f t="shared" si="12"/>
        <v/>
      </c>
      <c r="G421" s="6" t="str">
        <f t="shared" si="13"/>
        <v/>
      </c>
    </row>
    <row r="422" spans="4:7" x14ac:dyDescent="0.2">
      <c r="D422" s="31" t="str">
        <f>IF(LEN(TRIM(A422))=0,"",COUNTIFS(Students!E:E, A422))</f>
        <v/>
      </c>
      <c r="E422" s="31" t="str">
        <f>IF(LEN(TRIM(A422))=0,"",COUNTIFS(Students!E:E, A422, Students!D:D, "&gt;=0"))</f>
        <v/>
      </c>
      <c r="F422" s="31" t="str">
        <f t="shared" si="12"/>
        <v/>
      </c>
      <c r="G422" s="6" t="str">
        <f t="shared" si="13"/>
        <v/>
      </c>
    </row>
    <row r="423" spans="4:7" x14ac:dyDescent="0.2">
      <c r="D423" s="31" t="str">
        <f>IF(LEN(TRIM(A423))=0,"",COUNTIFS(Students!E:E, A423))</f>
        <v/>
      </c>
      <c r="E423" s="31" t="str">
        <f>IF(LEN(TRIM(A423))=0,"",COUNTIFS(Students!E:E, A423, Students!D:D, "&gt;=0"))</f>
        <v/>
      </c>
      <c r="F423" s="31" t="str">
        <f t="shared" si="12"/>
        <v/>
      </c>
      <c r="G423" s="6" t="str">
        <f t="shared" si="13"/>
        <v/>
      </c>
    </row>
    <row r="424" spans="4:7" x14ac:dyDescent="0.2">
      <c r="D424" s="31" t="str">
        <f>IF(LEN(TRIM(A424))=0,"",COUNTIFS(Students!E:E, A424))</f>
        <v/>
      </c>
      <c r="E424" s="31" t="str">
        <f>IF(LEN(TRIM(A424))=0,"",COUNTIFS(Students!E:E, A424, Students!D:D, "&gt;=0"))</f>
        <v/>
      </c>
      <c r="F424" s="31" t="str">
        <f t="shared" si="12"/>
        <v/>
      </c>
      <c r="G424" s="6" t="str">
        <f t="shared" si="13"/>
        <v/>
      </c>
    </row>
    <row r="425" spans="4:7" x14ac:dyDescent="0.2">
      <c r="D425" s="31" t="str">
        <f>IF(LEN(TRIM(A425))=0,"",COUNTIFS(Students!E:E, A425))</f>
        <v/>
      </c>
      <c r="E425" s="31" t="str">
        <f>IF(LEN(TRIM(A425))=0,"",COUNTIFS(Students!E:E, A425, Students!D:D, "&gt;=0"))</f>
        <v/>
      </c>
      <c r="F425" s="31" t="str">
        <f t="shared" si="12"/>
        <v/>
      </c>
      <c r="G425" s="6" t="str">
        <f t="shared" si="13"/>
        <v/>
      </c>
    </row>
    <row r="426" spans="4:7" x14ac:dyDescent="0.2">
      <c r="D426" s="31" t="str">
        <f>IF(LEN(TRIM(A426))=0,"",COUNTIFS(Students!E:E, A426))</f>
        <v/>
      </c>
      <c r="E426" s="31" t="str">
        <f>IF(LEN(TRIM(A426))=0,"",COUNTIFS(Students!E:E, A426, Students!D:D, "&gt;=0"))</f>
        <v/>
      </c>
      <c r="F426" s="31" t="str">
        <f t="shared" si="12"/>
        <v/>
      </c>
      <c r="G426" s="6" t="str">
        <f t="shared" si="13"/>
        <v/>
      </c>
    </row>
    <row r="427" spans="4:7" x14ac:dyDescent="0.2">
      <c r="D427" s="31" t="str">
        <f>IF(LEN(TRIM(A427))=0,"",COUNTIFS(Students!E:E, A427))</f>
        <v/>
      </c>
      <c r="E427" s="31" t="str">
        <f>IF(LEN(TRIM(A427))=0,"",COUNTIFS(Students!E:E, A427, Students!D:D, "&gt;=0"))</f>
        <v/>
      </c>
      <c r="F427" s="31" t="str">
        <f t="shared" si="12"/>
        <v/>
      </c>
      <c r="G427" s="6" t="str">
        <f t="shared" si="13"/>
        <v/>
      </c>
    </row>
    <row r="428" spans="4:7" x14ac:dyDescent="0.2">
      <c r="D428" s="31" t="str">
        <f>IF(LEN(TRIM(A428))=0,"",COUNTIFS(Students!E:E, A428))</f>
        <v/>
      </c>
      <c r="E428" s="31" t="str">
        <f>IF(LEN(TRIM(A428))=0,"",COUNTIFS(Students!E:E, A428, Students!D:D, "&gt;=0"))</f>
        <v/>
      </c>
      <c r="F428" s="31" t="str">
        <f t="shared" si="12"/>
        <v/>
      </c>
      <c r="G428" s="6" t="str">
        <f t="shared" si="13"/>
        <v/>
      </c>
    </row>
    <row r="429" spans="4:7" x14ac:dyDescent="0.2">
      <c r="D429" s="31" t="str">
        <f>IF(LEN(TRIM(A429))=0,"",COUNTIFS(Students!E:E, A429))</f>
        <v/>
      </c>
      <c r="E429" s="31" t="str">
        <f>IF(LEN(TRIM(A429))=0,"",COUNTIFS(Students!E:E, A429, Students!D:D, "&gt;=0"))</f>
        <v/>
      </c>
      <c r="F429" s="31" t="str">
        <f t="shared" si="12"/>
        <v/>
      </c>
      <c r="G429" s="6" t="str">
        <f t="shared" si="13"/>
        <v/>
      </c>
    </row>
    <row r="430" spans="4:7" x14ac:dyDescent="0.2">
      <c r="D430" s="31" t="str">
        <f>IF(LEN(TRIM(A430))=0,"",COUNTIFS(Students!E:E, A430))</f>
        <v/>
      </c>
      <c r="E430" s="31" t="str">
        <f>IF(LEN(TRIM(A430))=0,"",COUNTIFS(Students!E:E, A430, Students!D:D, "&gt;=0"))</f>
        <v/>
      </c>
      <c r="F430" s="31" t="str">
        <f t="shared" si="12"/>
        <v/>
      </c>
      <c r="G430" s="6" t="str">
        <f t="shared" si="13"/>
        <v/>
      </c>
    </row>
    <row r="431" spans="4:7" x14ac:dyDescent="0.2">
      <c r="D431" s="31" t="str">
        <f>IF(LEN(TRIM(A431))=0,"",COUNTIFS(Students!E:E, A431))</f>
        <v/>
      </c>
      <c r="E431" s="31" t="str">
        <f>IF(LEN(TRIM(A431))=0,"",COUNTIFS(Students!E:E, A431, Students!D:D, "&gt;=0"))</f>
        <v/>
      </c>
      <c r="F431" s="31" t="str">
        <f t="shared" si="12"/>
        <v/>
      </c>
      <c r="G431" s="6" t="str">
        <f t="shared" si="13"/>
        <v/>
      </c>
    </row>
    <row r="432" spans="4:7" x14ac:dyDescent="0.2">
      <c r="D432" s="31" t="str">
        <f>IF(LEN(TRIM(A432))=0,"",COUNTIFS(Students!E:E, A432))</f>
        <v/>
      </c>
      <c r="E432" s="31" t="str">
        <f>IF(LEN(TRIM(A432))=0,"",COUNTIFS(Students!E:E, A432, Students!D:D, "&gt;=0"))</f>
        <v/>
      </c>
      <c r="F432" s="31" t="str">
        <f t="shared" si="12"/>
        <v/>
      </c>
      <c r="G432" s="6" t="str">
        <f t="shared" si="13"/>
        <v/>
      </c>
    </row>
    <row r="433" spans="4:7" x14ac:dyDescent="0.2">
      <c r="D433" s="31" t="str">
        <f>IF(LEN(TRIM(A433))=0,"",COUNTIFS(Students!E:E, A433))</f>
        <v/>
      </c>
      <c r="E433" s="31" t="str">
        <f>IF(LEN(TRIM(A433))=0,"",COUNTIFS(Students!E:E, A433, Students!D:D, "&gt;=0"))</f>
        <v/>
      </c>
      <c r="F433" s="31" t="str">
        <f t="shared" si="12"/>
        <v/>
      </c>
      <c r="G433" s="6" t="str">
        <f t="shared" si="13"/>
        <v/>
      </c>
    </row>
    <row r="434" spans="4:7" x14ac:dyDescent="0.2">
      <c r="D434" s="31" t="str">
        <f>IF(LEN(TRIM(A434))=0,"",COUNTIFS(Students!E:E, A434))</f>
        <v/>
      </c>
      <c r="E434" s="31" t="str">
        <f>IF(LEN(TRIM(A434))=0,"",COUNTIFS(Students!E:E, A434, Students!D:D, "&gt;=0"))</f>
        <v/>
      </c>
      <c r="F434" s="31" t="str">
        <f t="shared" si="12"/>
        <v/>
      </c>
      <c r="G434" s="6" t="str">
        <f t="shared" si="13"/>
        <v/>
      </c>
    </row>
    <row r="435" spans="4:7" x14ac:dyDescent="0.2">
      <c r="D435" s="31" t="str">
        <f>IF(LEN(TRIM(A435))=0,"",COUNTIFS(Students!E:E, A435))</f>
        <v/>
      </c>
      <c r="E435" s="31" t="str">
        <f>IF(LEN(TRIM(A435))=0,"",COUNTIFS(Students!E:E, A435, Students!D:D, "&gt;=0"))</f>
        <v/>
      </c>
      <c r="F435" s="31" t="str">
        <f t="shared" si="12"/>
        <v/>
      </c>
      <c r="G435" s="6" t="str">
        <f t="shared" si="13"/>
        <v/>
      </c>
    </row>
    <row r="436" spans="4:7" x14ac:dyDescent="0.2">
      <c r="D436" s="31" t="str">
        <f>IF(LEN(TRIM(A436))=0,"",COUNTIFS(Students!E:E, A436))</f>
        <v/>
      </c>
      <c r="E436" s="31" t="str">
        <f>IF(LEN(TRIM(A436))=0,"",COUNTIFS(Students!E:E, A436, Students!D:D, "&gt;=0"))</f>
        <v/>
      </c>
      <c r="F436" s="31" t="str">
        <f t="shared" si="12"/>
        <v/>
      </c>
      <c r="G436" s="6" t="str">
        <f t="shared" si="13"/>
        <v/>
      </c>
    </row>
    <row r="437" spans="4:7" x14ac:dyDescent="0.2">
      <c r="D437" s="31" t="str">
        <f>IF(LEN(TRIM(A437))=0,"",COUNTIFS(Students!E:E, A437))</f>
        <v/>
      </c>
      <c r="E437" s="31" t="str">
        <f>IF(LEN(TRIM(A437))=0,"",COUNTIFS(Students!E:E, A437, Students!D:D, "&gt;=0"))</f>
        <v/>
      </c>
      <c r="F437" s="31" t="str">
        <f t="shared" si="12"/>
        <v/>
      </c>
      <c r="G437" s="6" t="str">
        <f t="shared" si="13"/>
        <v/>
      </c>
    </row>
    <row r="438" spans="4:7" x14ac:dyDescent="0.2">
      <c r="D438" s="31" t="str">
        <f>IF(LEN(TRIM(A438))=0,"",COUNTIFS(Students!E:E, A438))</f>
        <v/>
      </c>
      <c r="E438" s="31" t="str">
        <f>IF(LEN(TRIM(A438))=0,"",COUNTIFS(Students!E:E, A438, Students!D:D, "&gt;=0"))</f>
        <v/>
      </c>
      <c r="F438" s="31" t="str">
        <f t="shared" si="12"/>
        <v/>
      </c>
      <c r="G438" s="6" t="str">
        <f t="shared" si="13"/>
        <v/>
      </c>
    </row>
    <row r="439" spans="4:7" x14ac:dyDescent="0.2">
      <c r="D439" s="31" t="str">
        <f>IF(LEN(TRIM(A439))=0,"",COUNTIFS(Students!E:E, A439))</f>
        <v/>
      </c>
      <c r="E439" s="31" t="str">
        <f>IF(LEN(TRIM(A439))=0,"",COUNTIFS(Students!E:E, A439, Students!D:D, "&gt;=0"))</f>
        <v/>
      </c>
      <c r="F439" s="31" t="str">
        <f t="shared" si="12"/>
        <v/>
      </c>
      <c r="G439" s="6" t="str">
        <f t="shared" si="13"/>
        <v/>
      </c>
    </row>
    <row r="440" spans="4:7" x14ac:dyDescent="0.2">
      <c r="D440" s="31" t="str">
        <f>IF(LEN(TRIM(A440))=0,"",COUNTIFS(Students!E:E, A440))</f>
        <v/>
      </c>
      <c r="E440" s="31" t="str">
        <f>IF(LEN(TRIM(A440))=0,"",COUNTIFS(Students!E:E, A440, Students!D:D, "&gt;=0"))</f>
        <v/>
      </c>
      <c r="F440" s="31" t="str">
        <f t="shared" si="12"/>
        <v/>
      </c>
      <c r="G440" s="6" t="str">
        <f t="shared" si="13"/>
        <v/>
      </c>
    </row>
    <row r="441" spans="4:7" x14ac:dyDescent="0.2">
      <c r="D441" s="31" t="str">
        <f>IF(LEN(TRIM(A441))=0,"",COUNTIFS(Students!E:E, A441))</f>
        <v/>
      </c>
      <c r="E441" s="31" t="str">
        <f>IF(LEN(TRIM(A441))=0,"",COUNTIFS(Students!E:E, A441, Students!D:D, "&gt;=0"))</f>
        <v/>
      </c>
      <c r="F441" s="31" t="str">
        <f t="shared" si="12"/>
        <v/>
      </c>
      <c r="G441" s="6" t="str">
        <f t="shared" si="13"/>
        <v/>
      </c>
    </row>
    <row r="442" spans="4:7" x14ac:dyDescent="0.2">
      <c r="D442" s="31" t="str">
        <f>IF(LEN(TRIM(A442))=0,"",COUNTIFS(Students!E:E, A442))</f>
        <v/>
      </c>
      <c r="E442" s="31" t="str">
        <f>IF(LEN(TRIM(A442))=0,"",COUNTIFS(Students!E:E, A442, Students!D:D, "&gt;=0"))</f>
        <v/>
      </c>
      <c r="F442" s="31" t="str">
        <f t="shared" si="12"/>
        <v/>
      </c>
      <c r="G442" s="6" t="str">
        <f t="shared" si="13"/>
        <v/>
      </c>
    </row>
    <row r="443" spans="4:7" x14ac:dyDescent="0.2">
      <c r="D443" s="31" t="str">
        <f>IF(LEN(TRIM(A443))=0,"",COUNTIFS(Students!E:E, A443))</f>
        <v/>
      </c>
      <c r="E443" s="31" t="str">
        <f>IF(LEN(TRIM(A443))=0,"",COUNTIFS(Students!E:E, A443, Students!D:D, "&gt;=0"))</f>
        <v/>
      </c>
      <c r="F443" s="31" t="str">
        <f t="shared" si="12"/>
        <v/>
      </c>
      <c r="G443" s="6" t="str">
        <f t="shared" si="13"/>
        <v/>
      </c>
    </row>
    <row r="444" spans="4:7" x14ac:dyDescent="0.2">
      <c r="D444" s="31" t="str">
        <f>IF(LEN(TRIM(A444))=0,"",COUNTIFS(Students!E:E, A444))</f>
        <v/>
      </c>
      <c r="E444" s="31" t="str">
        <f>IF(LEN(TRIM(A444))=0,"",COUNTIFS(Students!E:E, A444, Students!D:D, "&gt;=0"))</f>
        <v/>
      </c>
      <c r="F444" s="31" t="str">
        <f t="shared" si="12"/>
        <v/>
      </c>
      <c r="G444" s="6" t="str">
        <f t="shared" si="13"/>
        <v/>
      </c>
    </row>
    <row r="445" spans="4:7" x14ac:dyDescent="0.2">
      <c r="D445" s="31" t="str">
        <f>IF(LEN(TRIM(A445))=0,"",COUNTIFS(Students!E:E, A445))</f>
        <v/>
      </c>
      <c r="E445" s="31" t="str">
        <f>IF(LEN(TRIM(A445))=0,"",COUNTIFS(Students!E:E, A445, Students!D:D, "&gt;=0"))</f>
        <v/>
      </c>
      <c r="F445" s="31" t="str">
        <f t="shared" si="12"/>
        <v/>
      </c>
      <c r="G445" s="6" t="str">
        <f t="shared" si="13"/>
        <v/>
      </c>
    </row>
    <row r="446" spans="4:7" x14ac:dyDescent="0.2">
      <c r="D446" s="31" t="str">
        <f>IF(LEN(TRIM(A446))=0,"",COUNTIFS(Students!E:E, A446))</f>
        <v/>
      </c>
      <c r="E446" s="31" t="str">
        <f>IF(LEN(TRIM(A446))=0,"",COUNTIFS(Students!E:E, A446, Students!D:D, "&gt;=0"))</f>
        <v/>
      </c>
      <c r="F446" s="31" t="str">
        <f t="shared" si="12"/>
        <v/>
      </c>
      <c r="G446" s="6" t="str">
        <f t="shared" si="13"/>
        <v/>
      </c>
    </row>
    <row r="447" spans="4:7" x14ac:dyDescent="0.2">
      <c r="D447" s="31" t="str">
        <f>IF(LEN(TRIM(A447))=0,"",COUNTIFS(Students!E:E, A447))</f>
        <v/>
      </c>
      <c r="E447" s="31" t="str">
        <f>IF(LEN(TRIM(A447))=0,"",COUNTIFS(Students!E:E, A447, Students!D:D, "&gt;=0"))</f>
        <v/>
      </c>
      <c r="F447" s="31" t="str">
        <f t="shared" si="12"/>
        <v/>
      </c>
      <c r="G447" s="6" t="str">
        <f t="shared" si="13"/>
        <v/>
      </c>
    </row>
    <row r="448" spans="4:7" x14ac:dyDescent="0.2">
      <c r="D448" s="31" t="str">
        <f>IF(LEN(TRIM(A448))=0,"",COUNTIFS(Students!E:E, A448))</f>
        <v/>
      </c>
      <c r="E448" s="31" t="str">
        <f>IF(LEN(TRIM(A448))=0,"",COUNTIFS(Students!E:E, A448, Students!D:D, "&gt;=0"))</f>
        <v/>
      </c>
      <c r="F448" s="31" t="str">
        <f t="shared" si="12"/>
        <v/>
      </c>
      <c r="G448" s="6" t="str">
        <f t="shared" si="13"/>
        <v/>
      </c>
    </row>
    <row r="449" spans="4:7" x14ac:dyDescent="0.2">
      <c r="D449" s="31" t="str">
        <f>IF(LEN(TRIM(A449))=0,"",COUNTIFS(Students!E:E, A449))</f>
        <v/>
      </c>
      <c r="E449" s="31" t="str">
        <f>IF(LEN(TRIM(A449))=0,"",COUNTIFS(Students!E:E, A449, Students!D:D, "&gt;=0"))</f>
        <v/>
      </c>
      <c r="F449" s="31" t="str">
        <f t="shared" si="12"/>
        <v/>
      </c>
      <c r="G449" s="6" t="str">
        <f t="shared" si="13"/>
        <v/>
      </c>
    </row>
    <row r="450" spans="4:7" x14ac:dyDescent="0.2">
      <c r="D450" s="31" t="str">
        <f>IF(LEN(TRIM(A450))=0,"",COUNTIFS(Students!E:E, A450))</f>
        <v/>
      </c>
      <c r="E450" s="31" t="str">
        <f>IF(LEN(TRIM(A450))=0,"",COUNTIFS(Students!E:E, A450, Students!D:D, "&gt;=0"))</f>
        <v/>
      </c>
      <c r="F450" s="31" t="str">
        <f t="shared" si="12"/>
        <v/>
      </c>
      <c r="G450" s="6" t="str">
        <f t="shared" si="13"/>
        <v/>
      </c>
    </row>
    <row r="451" spans="4:7" x14ac:dyDescent="0.2">
      <c r="D451" s="31" t="str">
        <f>IF(LEN(TRIM(A451))=0,"",COUNTIFS(Students!E:E, A451))</f>
        <v/>
      </c>
      <c r="E451" s="31" t="str">
        <f>IF(LEN(TRIM(A451))=0,"",COUNTIFS(Students!E:E, A451, Students!D:D, "&gt;=0"))</f>
        <v/>
      </c>
      <c r="F451" s="31" t="str">
        <f t="shared" ref="F451:F514" si="14">IFERROR(D451-E451,"")</f>
        <v/>
      </c>
      <c r="G451" s="6" t="str">
        <f t="shared" ref="G451:G514" si="15">IFERROR(IF(D451=0, "N/A", E451/D451),"")</f>
        <v/>
      </c>
    </row>
    <row r="452" spans="4:7" x14ac:dyDescent="0.2">
      <c r="D452" s="31" t="str">
        <f>IF(LEN(TRIM(A452))=0,"",COUNTIFS(Students!E:E, A452))</f>
        <v/>
      </c>
      <c r="E452" s="31" t="str">
        <f>IF(LEN(TRIM(A452))=0,"",COUNTIFS(Students!E:E, A452, Students!D:D, "&gt;=0"))</f>
        <v/>
      </c>
      <c r="F452" s="31" t="str">
        <f t="shared" si="14"/>
        <v/>
      </c>
      <c r="G452" s="6" t="str">
        <f t="shared" si="15"/>
        <v/>
      </c>
    </row>
    <row r="453" spans="4:7" x14ac:dyDescent="0.2">
      <c r="D453" s="31" t="str">
        <f>IF(LEN(TRIM(A453))=0,"",COUNTIFS(Students!E:E, A453))</f>
        <v/>
      </c>
      <c r="E453" s="31" t="str">
        <f>IF(LEN(TRIM(A453))=0,"",COUNTIFS(Students!E:E, A453, Students!D:D, "&gt;=0"))</f>
        <v/>
      </c>
      <c r="F453" s="31" t="str">
        <f t="shared" si="14"/>
        <v/>
      </c>
      <c r="G453" s="6" t="str">
        <f t="shared" si="15"/>
        <v/>
      </c>
    </row>
    <row r="454" spans="4:7" x14ac:dyDescent="0.2">
      <c r="D454" s="31" t="str">
        <f>IF(LEN(TRIM(A454))=0,"",COUNTIFS(Students!E:E, A454))</f>
        <v/>
      </c>
      <c r="E454" s="31" t="str">
        <f>IF(LEN(TRIM(A454))=0,"",COUNTIFS(Students!E:E, A454, Students!D:D, "&gt;=0"))</f>
        <v/>
      </c>
      <c r="F454" s="31" t="str">
        <f t="shared" si="14"/>
        <v/>
      </c>
      <c r="G454" s="6" t="str">
        <f t="shared" si="15"/>
        <v/>
      </c>
    </row>
    <row r="455" spans="4:7" x14ac:dyDescent="0.2">
      <c r="D455" s="31" t="str">
        <f>IF(LEN(TRIM(A455))=0,"",COUNTIFS(Students!E:E, A455))</f>
        <v/>
      </c>
      <c r="E455" s="31" t="str">
        <f>IF(LEN(TRIM(A455))=0,"",COUNTIFS(Students!E:E, A455, Students!D:D, "&gt;=0"))</f>
        <v/>
      </c>
      <c r="F455" s="31" t="str">
        <f t="shared" si="14"/>
        <v/>
      </c>
      <c r="G455" s="6" t="str">
        <f t="shared" si="15"/>
        <v/>
      </c>
    </row>
    <row r="456" spans="4:7" x14ac:dyDescent="0.2">
      <c r="D456" s="31" t="str">
        <f>IF(LEN(TRIM(A456))=0,"",COUNTIFS(Students!E:E, A456))</f>
        <v/>
      </c>
      <c r="E456" s="31" t="str">
        <f>IF(LEN(TRIM(A456))=0,"",COUNTIFS(Students!E:E, A456, Students!D:D, "&gt;=0"))</f>
        <v/>
      </c>
      <c r="F456" s="31" t="str">
        <f t="shared" si="14"/>
        <v/>
      </c>
      <c r="G456" s="6" t="str">
        <f t="shared" si="15"/>
        <v/>
      </c>
    </row>
    <row r="457" spans="4:7" x14ac:dyDescent="0.2">
      <c r="D457" s="31" t="str">
        <f>IF(LEN(TRIM(A457))=0,"",COUNTIFS(Students!E:E, A457))</f>
        <v/>
      </c>
      <c r="E457" s="31" t="str">
        <f>IF(LEN(TRIM(A457))=0,"",COUNTIFS(Students!E:E, A457, Students!D:D, "&gt;=0"))</f>
        <v/>
      </c>
      <c r="F457" s="31" t="str">
        <f t="shared" si="14"/>
        <v/>
      </c>
      <c r="G457" s="6" t="str">
        <f t="shared" si="15"/>
        <v/>
      </c>
    </row>
    <row r="458" spans="4:7" x14ac:dyDescent="0.2">
      <c r="D458" s="31" t="str">
        <f>IF(LEN(TRIM(A458))=0,"",COUNTIFS(Students!E:E, A458))</f>
        <v/>
      </c>
      <c r="E458" s="31" t="str">
        <f>IF(LEN(TRIM(A458))=0,"",COUNTIFS(Students!E:E, A458, Students!D:D, "&gt;=0"))</f>
        <v/>
      </c>
      <c r="F458" s="31" t="str">
        <f t="shared" si="14"/>
        <v/>
      </c>
      <c r="G458" s="6" t="str">
        <f t="shared" si="15"/>
        <v/>
      </c>
    </row>
    <row r="459" spans="4:7" x14ac:dyDescent="0.2">
      <c r="D459" s="31" t="str">
        <f>IF(LEN(TRIM(A459))=0,"",COUNTIFS(Students!E:E, A459))</f>
        <v/>
      </c>
      <c r="E459" s="31" t="str">
        <f>IF(LEN(TRIM(A459))=0,"",COUNTIFS(Students!E:E, A459, Students!D:D, "&gt;=0"))</f>
        <v/>
      </c>
      <c r="F459" s="31" t="str">
        <f t="shared" si="14"/>
        <v/>
      </c>
      <c r="G459" s="6" t="str">
        <f t="shared" si="15"/>
        <v/>
      </c>
    </row>
    <row r="460" spans="4:7" x14ac:dyDescent="0.2">
      <c r="D460" s="31" t="str">
        <f>IF(LEN(TRIM(A460))=0,"",COUNTIFS(Students!E:E, A460))</f>
        <v/>
      </c>
      <c r="E460" s="31" t="str">
        <f>IF(LEN(TRIM(A460))=0,"",COUNTIFS(Students!E:E, A460, Students!D:D, "&gt;=0"))</f>
        <v/>
      </c>
      <c r="F460" s="31" t="str">
        <f t="shared" si="14"/>
        <v/>
      </c>
      <c r="G460" s="6" t="str">
        <f t="shared" si="15"/>
        <v/>
      </c>
    </row>
    <row r="461" spans="4:7" x14ac:dyDescent="0.2">
      <c r="D461" s="31" t="str">
        <f>IF(LEN(TRIM(A461))=0,"",COUNTIFS(Students!E:E, A461))</f>
        <v/>
      </c>
      <c r="E461" s="31" t="str">
        <f>IF(LEN(TRIM(A461))=0,"",COUNTIFS(Students!E:E, A461, Students!D:D, "&gt;=0"))</f>
        <v/>
      </c>
      <c r="F461" s="31" t="str">
        <f t="shared" si="14"/>
        <v/>
      </c>
      <c r="G461" s="6" t="str">
        <f t="shared" si="15"/>
        <v/>
      </c>
    </row>
    <row r="462" spans="4:7" x14ac:dyDescent="0.2">
      <c r="D462" s="31" t="str">
        <f>IF(LEN(TRIM(A462))=0,"",COUNTIFS(Students!E:E, A462))</f>
        <v/>
      </c>
      <c r="E462" s="31" t="str">
        <f>IF(LEN(TRIM(A462))=0,"",COUNTIFS(Students!E:E, A462, Students!D:D, "&gt;=0"))</f>
        <v/>
      </c>
      <c r="F462" s="31" t="str">
        <f t="shared" si="14"/>
        <v/>
      </c>
      <c r="G462" s="6" t="str">
        <f t="shared" si="15"/>
        <v/>
      </c>
    </row>
    <row r="463" spans="4:7" x14ac:dyDescent="0.2">
      <c r="D463" s="31" t="str">
        <f>IF(LEN(TRIM(A463))=0,"",COUNTIFS(Students!E:E, A463))</f>
        <v/>
      </c>
      <c r="E463" s="31" t="str">
        <f>IF(LEN(TRIM(A463))=0,"",COUNTIFS(Students!E:E, A463, Students!D:D, "&gt;=0"))</f>
        <v/>
      </c>
      <c r="F463" s="31" t="str">
        <f t="shared" si="14"/>
        <v/>
      </c>
      <c r="G463" s="6" t="str">
        <f t="shared" si="15"/>
        <v/>
      </c>
    </row>
    <row r="464" spans="4:7" x14ac:dyDescent="0.2">
      <c r="D464" s="31" t="str">
        <f>IF(LEN(TRIM(A464))=0,"",COUNTIFS(Students!E:E, A464))</f>
        <v/>
      </c>
      <c r="E464" s="31" t="str">
        <f>IF(LEN(TRIM(A464))=0,"",COUNTIFS(Students!E:E, A464, Students!D:D, "&gt;=0"))</f>
        <v/>
      </c>
      <c r="F464" s="31" t="str">
        <f t="shared" si="14"/>
        <v/>
      </c>
      <c r="G464" s="6" t="str">
        <f t="shared" si="15"/>
        <v/>
      </c>
    </row>
    <row r="465" spans="4:7" x14ac:dyDescent="0.2">
      <c r="D465" s="31" t="str">
        <f>IF(LEN(TRIM(A465))=0,"",COUNTIFS(Students!E:E, A465))</f>
        <v/>
      </c>
      <c r="E465" s="31" t="str">
        <f>IF(LEN(TRIM(A465))=0,"",COUNTIFS(Students!E:E, A465, Students!D:D, "&gt;=0"))</f>
        <v/>
      </c>
      <c r="F465" s="31" t="str">
        <f t="shared" si="14"/>
        <v/>
      </c>
      <c r="G465" s="6" t="str">
        <f t="shared" si="15"/>
        <v/>
      </c>
    </row>
    <row r="466" spans="4:7" x14ac:dyDescent="0.2">
      <c r="D466" s="31" t="str">
        <f>IF(LEN(TRIM(A466))=0,"",COUNTIFS(Students!E:E, A466))</f>
        <v/>
      </c>
      <c r="E466" s="31" t="str">
        <f>IF(LEN(TRIM(A466))=0,"",COUNTIFS(Students!E:E, A466, Students!D:D, "&gt;=0"))</f>
        <v/>
      </c>
      <c r="F466" s="31" t="str">
        <f t="shared" si="14"/>
        <v/>
      </c>
      <c r="G466" s="6" t="str">
        <f t="shared" si="15"/>
        <v/>
      </c>
    </row>
    <row r="467" spans="4:7" x14ac:dyDescent="0.2">
      <c r="D467" s="31" t="str">
        <f>IF(LEN(TRIM(A467))=0,"",COUNTIFS(Students!E:E, A467))</f>
        <v/>
      </c>
      <c r="E467" s="31" t="str">
        <f>IF(LEN(TRIM(A467))=0,"",COUNTIFS(Students!E:E, A467, Students!D:D, "&gt;=0"))</f>
        <v/>
      </c>
      <c r="F467" s="31" t="str">
        <f t="shared" si="14"/>
        <v/>
      </c>
      <c r="G467" s="6" t="str">
        <f t="shared" si="15"/>
        <v/>
      </c>
    </row>
    <row r="468" spans="4:7" x14ac:dyDescent="0.2">
      <c r="D468" s="31" t="str">
        <f>IF(LEN(TRIM(A468))=0,"",COUNTIFS(Students!E:E, A468))</f>
        <v/>
      </c>
      <c r="E468" s="31" t="str">
        <f>IF(LEN(TRIM(A468))=0,"",COUNTIFS(Students!E:E, A468, Students!D:D, "&gt;=0"))</f>
        <v/>
      </c>
      <c r="F468" s="31" t="str">
        <f t="shared" si="14"/>
        <v/>
      </c>
      <c r="G468" s="6" t="str">
        <f t="shared" si="15"/>
        <v/>
      </c>
    </row>
    <row r="469" spans="4:7" x14ac:dyDescent="0.2">
      <c r="D469" s="31" t="str">
        <f>IF(LEN(TRIM(A469))=0,"",COUNTIFS(Students!E:E, A469))</f>
        <v/>
      </c>
      <c r="E469" s="31" t="str">
        <f>IF(LEN(TRIM(A469))=0,"",COUNTIFS(Students!E:E, A469, Students!D:D, "&gt;=0"))</f>
        <v/>
      </c>
      <c r="F469" s="31" t="str">
        <f t="shared" si="14"/>
        <v/>
      </c>
      <c r="G469" s="6" t="str">
        <f t="shared" si="15"/>
        <v/>
      </c>
    </row>
    <row r="470" spans="4:7" x14ac:dyDescent="0.2">
      <c r="D470" s="31" t="str">
        <f>IF(LEN(TRIM(A470))=0,"",COUNTIFS(Students!E:E, A470))</f>
        <v/>
      </c>
      <c r="E470" s="31" t="str">
        <f>IF(LEN(TRIM(A470))=0,"",COUNTIFS(Students!E:E, A470, Students!D:D, "&gt;=0"))</f>
        <v/>
      </c>
      <c r="F470" s="31" t="str">
        <f t="shared" si="14"/>
        <v/>
      </c>
      <c r="G470" s="6" t="str">
        <f t="shared" si="15"/>
        <v/>
      </c>
    </row>
    <row r="471" spans="4:7" x14ac:dyDescent="0.2">
      <c r="D471" s="31" t="str">
        <f>IF(LEN(TRIM(A471))=0,"",COUNTIFS(Students!E:E, A471))</f>
        <v/>
      </c>
      <c r="E471" s="31" t="str">
        <f>IF(LEN(TRIM(A471))=0,"",COUNTIFS(Students!E:E, A471, Students!D:D, "&gt;=0"))</f>
        <v/>
      </c>
      <c r="F471" s="31" t="str">
        <f t="shared" si="14"/>
        <v/>
      </c>
      <c r="G471" s="6" t="str">
        <f t="shared" si="15"/>
        <v/>
      </c>
    </row>
    <row r="472" spans="4:7" x14ac:dyDescent="0.2">
      <c r="D472" s="31" t="str">
        <f>IF(LEN(TRIM(A472))=0,"",COUNTIFS(Students!E:E, A472))</f>
        <v/>
      </c>
      <c r="E472" s="31" t="str">
        <f>IF(LEN(TRIM(A472))=0,"",COUNTIFS(Students!E:E, A472, Students!D:D, "&gt;=0"))</f>
        <v/>
      </c>
      <c r="F472" s="31" t="str">
        <f t="shared" si="14"/>
        <v/>
      </c>
      <c r="G472" s="6" t="str">
        <f t="shared" si="15"/>
        <v/>
      </c>
    </row>
    <row r="473" spans="4:7" x14ac:dyDescent="0.2">
      <c r="D473" s="31" t="str">
        <f>IF(LEN(TRIM(A473))=0,"",COUNTIFS(Students!E:E, A473))</f>
        <v/>
      </c>
      <c r="E473" s="31" t="str">
        <f>IF(LEN(TRIM(A473))=0,"",COUNTIFS(Students!E:E, A473, Students!D:D, "&gt;=0"))</f>
        <v/>
      </c>
      <c r="F473" s="31" t="str">
        <f t="shared" si="14"/>
        <v/>
      </c>
      <c r="G473" s="6" t="str">
        <f t="shared" si="15"/>
        <v/>
      </c>
    </row>
    <row r="474" spans="4:7" x14ac:dyDescent="0.2">
      <c r="D474" s="31" t="str">
        <f>IF(LEN(TRIM(A474))=0,"",COUNTIFS(Students!E:E, A474))</f>
        <v/>
      </c>
      <c r="E474" s="31" t="str">
        <f>IF(LEN(TRIM(A474))=0,"",COUNTIFS(Students!E:E, A474, Students!D:D, "&gt;=0"))</f>
        <v/>
      </c>
      <c r="F474" s="31" t="str">
        <f t="shared" si="14"/>
        <v/>
      </c>
      <c r="G474" s="6" t="str">
        <f t="shared" si="15"/>
        <v/>
      </c>
    </row>
    <row r="475" spans="4:7" x14ac:dyDescent="0.2">
      <c r="D475" s="31" t="str">
        <f>IF(LEN(TRIM(A475))=0,"",COUNTIFS(Students!E:E, A475))</f>
        <v/>
      </c>
      <c r="E475" s="31" t="str">
        <f>IF(LEN(TRIM(A475))=0,"",COUNTIFS(Students!E:E, A475, Students!D:D, "&gt;=0"))</f>
        <v/>
      </c>
      <c r="F475" s="31" t="str">
        <f t="shared" si="14"/>
        <v/>
      </c>
      <c r="G475" s="6" t="str">
        <f t="shared" si="15"/>
        <v/>
      </c>
    </row>
    <row r="476" spans="4:7" x14ac:dyDescent="0.2">
      <c r="D476" s="31" t="str">
        <f>IF(LEN(TRIM(A476))=0,"",COUNTIFS(Students!E:E, A476))</f>
        <v/>
      </c>
      <c r="E476" s="31" t="str">
        <f>IF(LEN(TRIM(A476))=0,"",COUNTIFS(Students!E:E, A476, Students!D:D, "&gt;=0"))</f>
        <v/>
      </c>
      <c r="F476" s="31" t="str">
        <f t="shared" si="14"/>
        <v/>
      </c>
      <c r="G476" s="6" t="str">
        <f t="shared" si="15"/>
        <v/>
      </c>
    </row>
    <row r="477" spans="4:7" x14ac:dyDescent="0.2">
      <c r="D477" s="31" t="str">
        <f>IF(LEN(TRIM(A477))=0,"",COUNTIFS(Students!E:E, A477))</f>
        <v/>
      </c>
      <c r="E477" s="31" t="str">
        <f>IF(LEN(TRIM(A477))=0,"",COUNTIFS(Students!E:E, A477, Students!D:D, "&gt;=0"))</f>
        <v/>
      </c>
      <c r="F477" s="31" t="str">
        <f t="shared" si="14"/>
        <v/>
      </c>
      <c r="G477" s="6" t="str">
        <f t="shared" si="15"/>
        <v/>
      </c>
    </row>
    <row r="478" spans="4:7" x14ac:dyDescent="0.2">
      <c r="D478" s="31" t="str">
        <f>IF(LEN(TRIM(A478))=0,"",COUNTIFS(Students!E:E, A478))</f>
        <v/>
      </c>
      <c r="E478" s="31" t="str">
        <f>IF(LEN(TRIM(A478))=0,"",COUNTIFS(Students!E:E, A478, Students!D:D, "&gt;=0"))</f>
        <v/>
      </c>
      <c r="F478" s="31" t="str">
        <f t="shared" si="14"/>
        <v/>
      </c>
      <c r="G478" s="6" t="str">
        <f t="shared" si="15"/>
        <v/>
      </c>
    </row>
    <row r="479" spans="4:7" x14ac:dyDescent="0.2">
      <c r="D479" s="31" t="str">
        <f>IF(LEN(TRIM(A479))=0,"",COUNTIFS(Students!E:E, A479))</f>
        <v/>
      </c>
      <c r="E479" s="31" t="str">
        <f>IF(LEN(TRIM(A479))=0,"",COUNTIFS(Students!E:E, A479, Students!D:D, "&gt;=0"))</f>
        <v/>
      </c>
      <c r="F479" s="31" t="str">
        <f t="shared" si="14"/>
        <v/>
      </c>
      <c r="G479" s="6" t="str">
        <f t="shared" si="15"/>
        <v/>
      </c>
    </row>
    <row r="480" spans="4:7" x14ac:dyDescent="0.2">
      <c r="D480" s="31" t="str">
        <f>IF(LEN(TRIM(A480))=0,"",COUNTIFS(Students!E:E, A480))</f>
        <v/>
      </c>
      <c r="E480" s="31" t="str">
        <f>IF(LEN(TRIM(A480))=0,"",COUNTIFS(Students!E:E, A480, Students!D:D, "&gt;=0"))</f>
        <v/>
      </c>
      <c r="F480" s="31" t="str">
        <f t="shared" si="14"/>
        <v/>
      </c>
      <c r="G480" s="6" t="str">
        <f t="shared" si="15"/>
        <v/>
      </c>
    </row>
    <row r="481" spans="4:7" x14ac:dyDescent="0.2">
      <c r="D481" s="31" t="str">
        <f>IF(LEN(TRIM(A481))=0,"",COUNTIFS(Students!E:E, A481))</f>
        <v/>
      </c>
      <c r="E481" s="31" t="str">
        <f>IF(LEN(TRIM(A481))=0,"",COUNTIFS(Students!E:E, A481, Students!D:D, "&gt;=0"))</f>
        <v/>
      </c>
      <c r="F481" s="31" t="str">
        <f t="shared" si="14"/>
        <v/>
      </c>
      <c r="G481" s="6" t="str">
        <f t="shared" si="15"/>
        <v/>
      </c>
    </row>
    <row r="482" spans="4:7" x14ac:dyDescent="0.2">
      <c r="D482" s="31" t="str">
        <f>IF(LEN(TRIM(A482))=0,"",COUNTIFS(Students!E:E, A482))</f>
        <v/>
      </c>
      <c r="E482" s="31" t="str">
        <f>IF(LEN(TRIM(A482))=0,"",COUNTIFS(Students!E:E, A482, Students!D:D, "&gt;=0"))</f>
        <v/>
      </c>
      <c r="F482" s="31" t="str">
        <f t="shared" si="14"/>
        <v/>
      </c>
      <c r="G482" s="6" t="str">
        <f t="shared" si="15"/>
        <v/>
      </c>
    </row>
    <row r="483" spans="4:7" x14ac:dyDescent="0.2">
      <c r="D483" s="31" t="str">
        <f>IF(LEN(TRIM(A483))=0,"",COUNTIFS(Students!E:E, A483))</f>
        <v/>
      </c>
      <c r="E483" s="31" t="str">
        <f>IF(LEN(TRIM(A483))=0,"",COUNTIFS(Students!E:E, A483, Students!D:D, "&gt;=0"))</f>
        <v/>
      </c>
      <c r="F483" s="31" t="str">
        <f t="shared" si="14"/>
        <v/>
      </c>
      <c r="G483" s="6" t="str">
        <f t="shared" si="15"/>
        <v/>
      </c>
    </row>
    <row r="484" spans="4:7" x14ac:dyDescent="0.2">
      <c r="D484" s="31" t="str">
        <f>IF(LEN(TRIM(A484))=0,"",COUNTIFS(Students!E:E, A484))</f>
        <v/>
      </c>
      <c r="E484" s="31" t="str">
        <f>IF(LEN(TRIM(A484))=0,"",COUNTIFS(Students!E:E, A484, Students!D:D, "&gt;=0"))</f>
        <v/>
      </c>
      <c r="F484" s="31" t="str">
        <f t="shared" si="14"/>
        <v/>
      </c>
      <c r="G484" s="6" t="str">
        <f t="shared" si="15"/>
        <v/>
      </c>
    </row>
    <row r="485" spans="4:7" x14ac:dyDescent="0.2">
      <c r="D485" s="31" t="str">
        <f>IF(LEN(TRIM(A485))=0,"",COUNTIFS(Students!E:E, A485))</f>
        <v/>
      </c>
      <c r="E485" s="31" t="str">
        <f>IF(LEN(TRIM(A485))=0,"",COUNTIFS(Students!E:E, A485, Students!D:D, "&gt;=0"))</f>
        <v/>
      </c>
      <c r="F485" s="31" t="str">
        <f t="shared" si="14"/>
        <v/>
      </c>
      <c r="G485" s="6" t="str">
        <f t="shared" si="15"/>
        <v/>
      </c>
    </row>
    <row r="486" spans="4:7" x14ac:dyDescent="0.2">
      <c r="D486" s="31" t="str">
        <f>IF(LEN(TRIM(A486))=0,"",COUNTIFS(Students!E:E, A486))</f>
        <v/>
      </c>
      <c r="E486" s="31" t="str">
        <f>IF(LEN(TRIM(A486))=0,"",COUNTIFS(Students!E:E, A486, Students!D:D, "&gt;=0"))</f>
        <v/>
      </c>
      <c r="F486" s="31" t="str">
        <f t="shared" si="14"/>
        <v/>
      </c>
      <c r="G486" s="6" t="str">
        <f t="shared" si="15"/>
        <v/>
      </c>
    </row>
    <row r="487" spans="4:7" x14ac:dyDescent="0.2">
      <c r="D487" s="31" t="str">
        <f>IF(LEN(TRIM(A487))=0,"",COUNTIFS(Students!E:E, A487))</f>
        <v/>
      </c>
      <c r="E487" s="31" t="str">
        <f>IF(LEN(TRIM(A487))=0,"",COUNTIFS(Students!E:E, A487, Students!D:D, "&gt;=0"))</f>
        <v/>
      </c>
      <c r="F487" s="31" t="str">
        <f t="shared" si="14"/>
        <v/>
      </c>
      <c r="G487" s="6" t="str">
        <f t="shared" si="15"/>
        <v/>
      </c>
    </row>
    <row r="488" spans="4:7" x14ac:dyDescent="0.2">
      <c r="D488" s="31" t="str">
        <f>IF(LEN(TRIM(A488))=0,"",COUNTIFS(Students!E:E, A488))</f>
        <v/>
      </c>
      <c r="E488" s="31" t="str">
        <f>IF(LEN(TRIM(A488))=0,"",COUNTIFS(Students!E:E, A488, Students!D:D, "&gt;=0"))</f>
        <v/>
      </c>
      <c r="F488" s="31" t="str">
        <f t="shared" si="14"/>
        <v/>
      </c>
      <c r="G488" s="6" t="str">
        <f t="shared" si="15"/>
        <v/>
      </c>
    </row>
    <row r="489" spans="4:7" x14ac:dyDescent="0.2">
      <c r="D489" s="31" t="str">
        <f>IF(LEN(TRIM(A489))=0,"",COUNTIFS(Students!E:E, A489))</f>
        <v/>
      </c>
      <c r="E489" s="31" t="str">
        <f>IF(LEN(TRIM(A489))=0,"",COUNTIFS(Students!E:E, A489, Students!D:D, "&gt;=0"))</f>
        <v/>
      </c>
      <c r="F489" s="31" t="str">
        <f t="shared" si="14"/>
        <v/>
      </c>
      <c r="G489" s="6" t="str">
        <f t="shared" si="15"/>
        <v/>
      </c>
    </row>
    <row r="490" spans="4:7" x14ac:dyDescent="0.2">
      <c r="D490" s="31" t="str">
        <f>IF(LEN(TRIM(A490))=0,"",COUNTIFS(Students!E:E, A490))</f>
        <v/>
      </c>
      <c r="E490" s="31" t="str">
        <f>IF(LEN(TRIM(A490))=0,"",COUNTIFS(Students!E:E, A490, Students!D:D, "&gt;=0"))</f>
        <v/>
      </c>
      <c r="F490" s="31" t="str">
        <f t="shared" si="14"/>
        <v/>
      </c>
      <c r="G490" s="6" t="str">
        <f t="shared" si="15"/>
        <v/>
      </c>
    </row>
    <row r="491" spans="4:7" x14ac:dyDescent="0.2">
      <c r="D491" s="31" t="str">
        <f>IF(LEN(TRIM(A491))=0,"",COUNTIFS(Students!E:E, A491))</f>
        <v/>
      </c>
      <c r="E491" s="31" t="str">
        <f>IF(LEN(TRIM(A491))=0,"",COUNTIFS(Students!E:E, A491, Students!D:D, "&gt;=0"))</f>
        <v/>
      </c>
      <c r="F491" s="31" t="str">
        <f t="shared" si="14"/>
        <v/>
      </c>
      <c r="G491" s="6" t="str">
        <f t="shared" si="15"/>
        <v/>
      </c>
    </row>
    <row r="492" spans="4:7" x14ac:dyDescent="0.2">
      <c r="D492" s="31" t="str">
        <f>IF(LEN(TRIM(A492))=0,"",COUNTIFS(Students!E:E, A492))</f>
        <v/>
      </c>
      <c r="E492" s="31" t="str">
        <f>IF(LEN(TRIM(A492))=0,"",COUNTIFS(Students!E:E, A492, Students!D:D, "&gt;=0"))</f>
        <v/>
      </c>
      <c r="F492" s="31" t="str">
        <f t="shared" si="14"/>
        <v/>
      </c>
      <c r="G492" s="6" t="str">
        <f t="shared" si="15"/>
        <v/>
      </c>
    </row>
    <row r="493" spans="4:7" x14ac:dyDescent="0.2">
      <c r="D493" s="31" t="str">
        <f>IF(LEN(TRIM(A493))=0,"",COUNTIFS(Students!E:E, A493))</f>
        <v/>
      </c>
      <c r="E493" s="31" t="str">
        <f>IF(LEN(TRIM(A493))=0,"",COUNTIFS(Students!E:E, A493, Students!D:D, "&gt;=0"))</f>
        <v/>
      </c>
      <c r="F493" s="31" t="str">
        <f t="shared" si="14"/>
        <v/>
      </c>
      <c r="G493" s="6" t="str">
        <f t="shared" si="15"/>
        <v/>
      </c>
    </row>
    <row r="494" spans="4:7" x14ac:dyDescent="0.2">
      <c r="D494" s="31" t="str">
        <f>IF(LEN(TRIM(A494))=0,"",COUNTIFS(Students!E:E, A494))</f>
        <v/>
      </c>
      <c r="E494" s="31" t="str">
        <f>IF(LEN(TRIM(A494))=0,"",COUNTIFS(Students!E:E, A494, Students!D:D, "&gt;=0"))</f>
        <v/>
      </c>
      <c r="F494" s="31" t="str">
        <f t="shared" si="14"/>
        <v/>
      </c>
      <c r="G494" s="6" t="str">
        <f t="shared" si="15"/>
        <v/>
      </c>
    </row>
    <row r="495" spans="4:7" x14ac:dyDescent="0.2">
      <c r="D495" s="31" t="str">
        <f>IF(LEN(TRIM(A495))=0,"",COUNTIFS(Students!E:E, A495))</f>
        <v/>
      </c>
      <c r="E495" s="31" t="str">
        <f>IF(LEN(TRIM(A495))=0,"",COUNTIFS(Students!E:E, A495, Students!D:D, "&gt;=0"))</f>
        <v/>
      </c>
      <c r="F495" s="31" t="str">
        <f t="shared" si="14"/>
        <v/>
      </c>
      <c r="G495" s="6" t="str">
        <f t="shared" si="15"/>
        <v/>
      </c>
    </row>
    <row r="496" spans="4:7" x14ac:dyDescent="0.2">
      <c r="D496" s="31" t="str">
        <f>IF(LEN(TRIM(A496))=0,"",COUNTIFS(Students!E:E, A496))</f>
        <v/>
      </c>
      <c r="E496" s="31" t="str">
        <f>IF(LEN(TRIM(A496))=0,"",COUNTIFS(Students!E:E, A496, Students!D:D, "&gt;=0"))</f>
        <v/>
      </c>
      <c r="F496" s="31" t="str">
        <f t="shared" si="14"/>
        <v/>
      </c>
      <c r="G496" s="6" t="str">
        <f t="shared" si="15"/>
        <v/>
      </c>
    </row>
    <row r="497" spans="4:7" x14ac:dyDescent="0.2">
      <c r="D497" s="31" t="str">
        <f>IF(LEN(TRIM(A497))=0,"",COUNTIFS(Students!E:E, A497))</f>
        <v/>
      </c>
      <c r="E497" s="31" t="str">
        <f>IF(LEN(TRIM(A497))=0,"",COUNTIFS(Students!E:E, A497, Students!D:D, "&gt;=0"))</f>
        <v/>
      </c>
      <c r="F497" s="31" t="str">
        <f t="shared" si="14"/>
        <v/>
      </c>
      <c r="G497" s="6" t="str">
        <f t="shared" si="15"/>
        <v/>
      </c>
    </row>
    <row r="498" spans="4:7" x14ac:dyDescent="0.2">
      <c r="D498" s="31" t="str">
        <f>IF(LEN(TRIM(A498))=0,"",COUNTIFS(Students!E:E, A498))</f>
        <v/>
      </c>
      <c r="E498" s="31" t="str">
        <f>IF(LEN(TRIM(A498))=0,"",COUNTIFS(Students!E:E, A498, Students!D:D, "&gt;=0"))</f>
        <v/>
      </c>
      <c r="F498" s="31" t="str">
        <f t="shared" si="14"/>
        <v/>
      </c>
      <c r="G498" s="6" t="str">
        <f t="shared" si="15"/>
        <v/>
      </c>
    </row>
    <row r="499" spans="4:7" x14ac:dyDescent="0.2">
      <c r="D499" s="31" t="str">
        <f>IF(LEN(TRIM(A499))=0,"",COUNTIFS(Students!E:E, A499))</f>
        <v/>
      </c>
      <c r="E499" s="31" t="str">
        <f>IF(LEN(TRIM(A499))=0,"",COUNTIFS(Students!E:E, A499, Students!D:D, "&gt;=0"))</f>
        <v/>
      </c>
      <c r="F499" s="31" t="str">
        <f t="shared" si="14"/>
        <v/>
      </c>
      <c r="G499" s="6" t="str">
        <f t="shared" si="15"/>
        <v/>
      </c>
    </row>
    <row r="500" spans="4:7" x14ac:dyDescent="0.2">
      <c r="D500" s="31" t="str">
        <f>IF(LEN(TRIM(A500))=0,"",COUNTIFS(Students!E:E, A500))</f>
        <v/>
      </c>
      <c r="E500" s="31" t="str">
        <f>IF(LEN(TRIM(A500))=0,"",COUNTIFS(Students!E:E, A500, Students!D:D, "&gt;=0"))</f>
        <v/>
      </c>
      <c r="F500" s="31" t="str">
        <f t="shared" si="14"/>
        <v/>
      </c>
      <c r="G500" s="6" t="str">
        <f t="shared" si="15"/>
        <v/>
      </c>
    </row>
    <row r="501" spans="4:7" x14ac:dyDescent="0.2">
      <c r="D501" s="31" t="str">
        <f>IF(LEN(TRIM(A501))=0,"",COUNTIFS(Students!E:E, A501))</f>
        <v/>
      </c>
      <c r="E501" s="31" t="str">
        <f>IF(LEN(TRIM(A501))=0,"",COUNTIFS(Students!E:E, A501, Students!D:D, "&gt;=0"))</f>
        <v/>
      </c>
      <c r="F501" s="31" t="str">
        <f t="shared" si="14"/>
        <v/>
      </c>
      <c r="G501" s="6" t="str">
        <f t="shared" si="15"/>
        <v/>
      </c>
    </row>
    <row r="502" spans="4:7" x14ac:dyDescent="0.2">
      <c r="D502" s="31" t="str">
        <f>IF(LEN(TRIM(A502))=0,"",COUNTIFS(Students!E:E, A502))</f>
        <v/>
      </c>
      <c r="E502" s="31" t="str">
        <f>IF(LEN(TRIM(A502))=0,"",COUNTIFS(Students!E:E, A502, Students!D:D, "&gt;=0"))</f>
        <v/>
      </c>
      <c r="F502" s="31" t="str">
        <f t="shared" si="14"/>
        <v/>
      </c>
      <c r="G502" s="6" t="str">
        <f t="shared" si="15"/>
        <v/>
      </c>
    </row>
    <row r="503" spans="4:7" x14ac:dyDescent="0.2">
      <c r="D503" s="31" t="str">
        <f>IF(LEN(TRIM(A503))=0,"",COUNTIFS(Students!E:E, A503))</f>
        <v/>
      </c>
      <c r="E503" s="31" t="str">
        <f>IF(LEN(TRIM(A503))=0,"",COUNTIFS(Students!E:E, A503, Students!D:D, "&gt;=0"))</f>
        <v/>
      </c>
      <c r="F503" s="31" t="str">
        <f t="shared" si="14"/>
        <v/>
      </c>
      <c r="G503" s="6" t="str">
        <f t="shared" si="15"/>
        <v/>
      </c>
    </row>
    <row r="504" spans="4:7" x14ac:dyDescent="0.2">
      <c r="D504" s="31" t="str">
        <f>IF(LEN(TRIM(A504))=0,"",COUNTIFS(Students!E:E, A504))</f>
        <v/>
      </c>
      <c r="E504" s="31" t="str">
        <f>IF(LEN(TRIM(A504))=0,"",COUNTIFS(Students!E:E, A504, Students!D:D, "&gt;=0"))</f>
        <v/>
      </c>
      <c r="F504" s="31" t="str">
        <f t="shared" si="14"/>
        <v/>
      </c>
      <c r="G504" s="6" t="str">
        <f t="shared" si="15"/>
        <v/>
      </c>
    </row>
    <row r="505" spans="4:7" x14ac:dyDescent="0.2">
      <c r="D505" s="31" t="str">
        <f>IF(LEN(TRIM(A505))=0,"",COUNTIFS(Students!E:E, A505))</f>
        <v/>
      </c>
      <c r="E505" s="31" t="str">
        <f>IF(LEN(TRIM(A505))=0,"",COUNTIFS(Students!E:E, A505, Students!D:D, "&gt;=0"))</f>
        <v/>
      </c>
      <c r="F505" s="31" t="str">
        <f t="shared" si="14"/>
        <v/>
      </c>
      <c r="G505" s="6" t="str">
        <f t="shared" si="15"/>
        <v/>
      </c>
    </row>
    <row r="506" spans="4:7" x14ac:dyDescent="0.2">
      <c r="D506" s="31" t="str">
        <f>IF(LEN(TRIM(A506))=0,"",COUNTIFS(Students!E:E, A506))</f>
        <v/>
      </c>
      <c r="E506" s="31" t="str">
        <f>IF(LEN(TRIM(A506))=0,"",COUNTIFS(Students!E:E, A506, Students!D:D, "&gt;=0"))</f>
        <v/>
      </c>
      <c r="F506" s="31" t="str">
        <f t="shared" si="14"/>
        <v/>
      </c>
      <c r="G506" s="6" t="str">
        <f t="shared" si="15"/>
        <v/>
      </c>
    </row>
    <row r="507" spans="4:7" x14ac:dyDescent="0.2">
      <c r="D507" s="31" t="str">
        <f>IF(LEN(TRIM(A507))=0,"",COUNTIFS(Students!E:E, A507))</f>
        <v/>
      </c>
      <c r="E507" s="31" t="str">
        <f>IF(LEN(TRIM(A507))=0,"",COUNTIFS(Students!E:E, A507, Students!D:D, "&gt;=0"))</f>
        <v/>
      </c>
      <c r="F507" s="31" t="str">
        <f t="shared" si="14"/>
        <v/>
      </c>
      <c r="G507" s="6" t="str">
        <f t="shared" si="15"/>
        <v/>
      </c>
    </row>
    <row r="508" spans="4:7" x14ac:dyDescent="0.2">
      <c r="D508" s="31" t="str">
        <f>IF(LEN(TRIM(A508))=0,"",COUNTIFS(Students!E:E, A508))</f>
        <v/>
      </c>
      <c r="E508" s="31" t="str">
        <f>IF(LEN(TRIM(A508))=0,"",COUNTIFS(Students!E:E, A508, Students!D:D, "&gt;=0"))</f>
        <v/>
      </c>
      <c r="F508" s="31" t="str">
        <f t="shared" si="14"/>
        <v/>
      </c>
      <c r="G508" s="6" t="str">
        <f t="shared" si="15"/>
        <v/>
      </c>
    </row>
    <row r="509" spans="4:7" x14ac:dyDescent="0.2">
      <c r="D509" s="31" t="str">
        <f>IF(LEN(TRIM(A509))=0,"",COUNTIFS(Students!E:E, A509))</f>
        <v/>
      </c>
      <c r="E509" s="31" t="str">
        <f>IF(LEN(TRIM(A509))=0,"",COUNTIFS(Students!E:E, A509, Students!D:D, "&gt;=0"))</f>
        <v/>
      </c>
      <c r="F509" s="31" t="str">
        <f t="shared" si="14"/>
        <v/>
      </c>
      <c r="G509" s="6" t="str">
        <f t="shared" si="15"/>
        <v/>
      </c>
    </row>
    <row r="510" spans="4:7" x14ac:dyDescent="0.2">
      <c r="D510" s="31" t="str">
        <f>IF(LEN(TRIM(A510))=0,"",COUNTIFS(Students!E:E, A510))</f>
        <v/>
      </c>
      <c r="E510" s="31" t="str">
        <f>IF(LEN(TRIM(A510))=0,"",COUNTIFS(Students!E:E, A510, Students!D:D, "&gt;=0"))</f>
        <v/>
      </c>
      <c r="F510" s="31" t="str">
        <f t="shared" si="14"/>
        <v/>
      </c>
      <c r="G510" s="6" t="str">
        <f t="shared" si="15"/>
        <v/>
      </c>
    </row>
    <row r="511" spans="4:7" x14ac:dyDescent="0.2">
      <c r="D511" s="31" t="str">
        <f>IF(LEN(TRIM(A511))=0,"",COUNTIFS(Students!E:E, A511))</f>
        <v/>
      </c>
      <c r="E511" s="31" t="str">
        <f>IF(LEN(TRIM(A511))=0,"",COUNTIFS(Students!E:E, A511, Students!D:D, "&gt;=0"))</f>
        <v/>
      </c>
      <c r="F511" s="31" t="str">
        <f t="shared" si="14"/>
        <v/>
      </c>
      <c r="G511" s="6" t="str">
        <f t="shared" si="15"/>
        <v/>
      </c>
    </row>
    <row r="512" spans="4:7" x14ac:dyDescent="0.2">
      <c r="D512" s="31" t="str">
        <f>IF(LEN(TRIM(A512))=0,"",COUNTIFS(Students!E:E, A512))</f>
        <v/>
      </c>
      <c r="E512" s="31" t="str">
        <f>IF(LEN(TRIM(A512))=0,"",COUNTIFS(Students!E:E, A512, Students!D:D, "&gt;=0"))</f>
        <v/>
      </c>
      <c r="F512" s="31" t="str">
        <f t="shared" si="14"/>
        <v/>
      </c>
      <c r="G512" s="6" t="str">
        <f t="shared" si="15"/>
        <v/>
      </c>
    </row>
    <row r="513" spans="4:7" x14ac:dyDescent="0.2">
      <c r="D513" s="31" t="str">
        <f>IF(LEN(TRIM(A513))=0,"",COUNTIFS(Students!E:E, A513))</f>
        <v/>
      </c>
      <c r="E513" s="31" t="str">
        <f>IF(LEN(TRIM(A513))=0,"",COUNTIFS(Students!E:E, A513, Students!D:D, "&gt;=0"))</f>
        <v/>
      </c>
      <c r="F513" s="31" t="str">
        <f t="shared" si="14"/>
        <v/>
      </c>
      <c r="G513" s="6" t="str">
        <f t="shared" si="15"/>
        <v/>
      </c>
    </row>
    <row r="514" spans="4:7" x14ac:dyDescent="0.2">
      <c r="D514" s="31" t="str">
        <f>IF(LEN(TRIM(A514))=0,"",COUNTIFS(Students!E:E, A514))</f>
        <v/>
      </c>
      <c r="E514" s="31" t="str">
        <f>IF(LEN(TRIM(A514))=0,"",COUNTIFS(Students!E:E, A514, Students!D:D, "&gt;=0"))</f>
        <v/>
      </c>
      <c r="F514" s="31" t="str">
        <f t="shared" si="14"/>
        <v/>
      </c>
      <c r="G514" s="6" t="str">
        <f t="shared" si="15"/>
        <v/>
      </c>
    </row>
    <row r="515" spans="4:7" x14ac:dyDescent="0.2">
      <c r="D515" s="31" t="str">
        <f>IF(LEN(TRIM(A515))=0,"",COUNTIFS(Students!E:E, A515))</f>
        <v/>
      </c>
      <c r="E515" s="31" t="str">
        <f>IF(LEN(TRIM(A515))=0,"",COUNTIFS(Students!E:E, A515, Students!D:D, "&gt;=0"))</f>
        <v/>
      </c>
      <c r="F515" s="31" t="str">
        <f t="shared" ref="F515:F578" si="16">IFERROR(D515-E515,"")</f>
        <v/>
      </c>
      <c r="G515" s="6" t="str">
        <f t="shared" ref="G515:G578" si="17">IFERROR(IF(D515=0, "N/A", E515/D515),"")</f>
        <v/>
      </c>
    </row>
    <row r="516" spans="4:7" x14ac:dyDescent="0.2">
      <c r="D516" s="31" t="str">
        <f>IF(LEN(TRIM(A516))=0,"",COUNTIFS(Students!E:E, A516))</f>
        <v/>
      </c>
      <c r="E516" s="31" t="str">
        <f>IF(LEN(TRIM(A516))=0,"",COUNTIFS(Students!E:E, A516, Students!D:D, "&gt;=0"))</f>
        <v/>
      </c>
      <c r="F516" s="31" t="str">
        <f t="shared" si="16"/>
        <v/>
      </c>
      <c r="G516" s="6" t="str">
        <f t="shared" si="17"/>
        <v/>
      </c>
    </row>
    <row r="517" spans="4:7" x14ac:dyDescent="0.2">
      <c r="D517" s="31" t="str">
        <f>IF(LEN(TRIM(A517))=0,"",COUNTIFS(Students!E:E, A517))</f>
        <v/>
      </c>
      <c r="E517" s="31" t="str">
        <f>IF(LEN(TRIM(A517))=0,"",COUNTIFS(Students!E:E, A517, Students!D:D, "&gt;=0"))</f>
        <v/>
      </c>
      <c r="F517" s="31" t="str">
        <f t="shared" si="16"/>
        <v/>
      </c>
      <c r="G517" s="6" t="str">
        <f t="shared" si="17"/>
        <v/>
      </c>
    </row>
    <row r="518" spans="4:7" x14ac:dyDescent="0.2">
      <c r="D518" s="31" t="str">
        <f>IF(LEN(TRIM(A518))=0,"",COUNTIFS(Students!E:E, A518))</f>
        <v/>
      </c>
      <c r="E518" s="31" t="str">
        <f>IF(LEN(TRIM(A518))=0,"",COUNTIFS(Students!E:E, A518, Students!D:D, "&gt;=0"))</f>
        <v/>
      </c>
      <c r="F518" s="31" t="str">
        <f t="shared" si="16"/>
        <v/>
      </c>
      <c r="G518" s="6" t="str">
        <f t="shared" si="17"/>
        <v/>
      </c>
    </row>
    <row r="519" spans="4:7" x14ac:dyDescent="0.2">
      <c r="D519" s="31" t="str">
        <f>IF(LEN(TRIM(A519))=0,"",COUNTIFS(Students!E:E, A519))</f>
        <v/>
      </c>
      <c r="E519" s="31" t="str">
        <f>IF(LEN(TRIM(A519))=0,"",COUNTIFS(Students!E:E, A519, Students!D:D, "&gt;=0"))</f>
        <v/>
      </c>
      <c r="F519" s="31" t="str">
        <f t="shared" si="16"/>
        <v/>
      </c>
      <c r="G519" s="6" t="str">
        <f t="shared" si="17"/>
        <v/>
      </c>
    </row>
    <row r="520" spans="4:7" x14ac:dyDescent="0.2">
      <c r="D520" s="31" t="str">
        <f>IF(LEN(TRIM(A520))=0,"",COUNTIFS(Students!E:E, A520))</f>
        <v/>
      </c>
      <c r="E520" s="31" t="str">
        <f>IF(LEN(TRIM(A520))=0,"",COUNTIFS(Students!E:E, A520, Students!D:D, "&gt;=0"))</f>
        <v/>
      </c>
      <c r="F520" s="31" t="str">
        <f t="shared" si="16"/>
        <v/>
      </c>
      <c r="G520" s="6" t="str">
        <f t="shared" si="17"/>
        <v/>
      </c>
    </row>
    <row r="521" spans="4:7" x14ac:dyDescent="0.2">
      <c r="D521" s="31" t="str">
        <f>IF(LEN(TRIM(A521))=0,"",COUNTIFS(Students!E:E, A521))</f>
        <v/>
      </c>
      <c r="E521" s="31" t="str">
        <f>IF(LEN(TRIM(A521))=0,"",COUNTIFS(Students!E:E, A521, Students!D:D, "&gt;=0"))</f>
        <v/>
      </c>
      <c r="F521" s="31" t="str">
        <f t="shared" si="16"/>
        <v/>
      </c>
      <c r="G521" s="6" t="str">
        <f t="shared" si="17"/>
        <v/>
      </c>
    </row>
    <row r="522" spans="4:7" x14ac:dyDescent="0.2">
      <c r="D522" s="31" t="str">
        <f>IF(LEN(TRIM(A522))=0,"",COUNTIFS(Students!E:E, A522))</f>
        <v/>
      </c>
      <c r="E522" s="31" t="str">
        <f>IF(LEN(TRIM(A522))=0,"",COUNTIFS(Students!E:E, A522, Students!D:D, "&gt;=0"))</f>
        <v/>
      </c>
      <c r="F522" s="31" t="str">
        <f t="shared" si="16"/>
        <v/>
      </c>
      <c r="G522" s="6" t="str">
        <f t="shared" si="17"/>
        <v/>
      </c>
    </row>
    <row r="523" spans="4:7" x14ac:dyDescent="0.2">
      <c r="D523" s="31" t="str">
        <f>IF(LEN(TRIM(A523))=0,"",COUNTIFS(Students!E:E, A523))</f>
        <v/>
      </c>
      <c r="E523" s="31" t="str">
        <f>IF(LEN(TRIM(A523))=0,"",COUNTIFS(Students!E:E, A523, Students!D:D, "&gt;=0"))</f>
        <v/>
      </c>
      <c r="F523" s="31" t="str">
        <f t="shared" si="16"/>
        <v/>
      </c>
      <c r="G523" s="6" t="str">
        <f t="shared" si="17"/>
        <v/>
      </c>
    </row>
    <row r="524" spans="4:7" x14ac:dyDescent="0.2">
      <c r="D524" s="31" t="str">
        <f>IF(LEN(TRIM(A524))=0,"",COUNTIFS(Students!E:E, A524))</f>
        <v/>
      </c>
      <c r="E524" s="31" t="str">
        <f>IF(LEN(TRIM(A524))=0,"",COUNTIFS(Students!E:E, A524, Students!D:D, "&gt;=0"))</f>
        <v/>
      </c>
      <c r="F524" s="31" t="str">
        <f t="shared" si="16"/>
        <v/>
      </c>
      <c r="G524" s="6" t="str">
        <f t="shared" si="17"/>
        <v/>
      </c>
    </row>
    <row r="525" spans="4:7" x14ac:dyDescent="0.2">
      <c r="D525" s="31" t="str">
        <f>IF(LEN(TRIM(A525))=0,"",COUNTIFS(Students!E:E, A525))</f>
        <v/>
      </c>
      <c r="E525" s="31" t="str">
        <f>IF(LEN(TRIM(A525))=0,"",COUNTIFS(Students!E:E, A525, Students!D:D, "&gt;=0"))</f>
        <v/>
      </c>
      <c r="F525" s="31" t="str">
        <f t="shared" si="16"/>
        <v/>
      </c>
      <c r="G525" s="6" t="str">
        <f t="shared" si="17"/>
        <v/>
      </c>
    </row>
    <row r="526" spans="4:7" x14ac:dyDescent="0.2">
      <c r="D526" s="31" t="str">
        <f>IF(LEN(TRIM(A526))=0,"",COUNTIFS(Students!E:E, A526))</f>
        <v/>
      </c>
      <c r="E526" s="31" t="str">
        <f>IF(LEN(TRIM(A526))=0,"",COUNTIFS(Students!E:E, A526, Students!D:D, "&gt;=0"))</f>
        <v/>
      </c>
      <c r="F526" s="31" t="str">
        <f t="shared" si="16"/>
        <v/>
      </c>
      <c r="G526" s="6" t="str">
        <f t="shared" si="17"/>
        <v/>
      </c>
    </row>
    <row r="527" spans="4:7" x14ac:dyDescent="0.2">
      <c r="D527" s="31" t="str">
        <f>IF(LEN(TRIM(A527))=0,"",COUNTIFS(Students!E:E, A527))</f>
        <v/>
      </c>
      <c r="E527" s="31" t="str">
        <f>IF(LEN(TRIM(A527))=0,"",COUNTIFS(Students!E:E, A527, Students!D:D, "&gt;=0"))</f>
        <v/>
      </c>
      <c r="F527" s="31" t="str">
        <f t="shared" si="16"/>
        <v/>
      </c>
      <c r="G527" s="6" t="str">
        <f t="shared" si="17"/>
        <v/>
      </c>
    </row>
    <row r="528" spans="4:7" x14ac:dyDescent="0.2">
      <c r="D528" s="31" t="str">
        <f>IF(LEN(TRIM(A528))=0,"",COUNTIFS(Students!E:E, A528))</f>
        <v/>
      </c>
      <c r="E528" s="31" t="str">
        <f>IF(LEN(TRIM(A528))=0,"",COUNTIFS(Students!E:E, A528, Students!D:D, "&gt;=0"))</f>
        <v/>
      </c>
      <c r="F528" s="31" t="str">
        <f t="shared" si="16"/>
        <v/>
      </c>
      <c r="G528" s="6" t="str">
        <f t="shared" si="17"/>
        <v/>
      </c>
    </row>
    <row r="529" spans="4:7" x14ac:dyDescent="0.2">
      <c r="D529" s="31" t="str">
        <f>IF(LEN(TRIM(A529))=0,"",COUNTIFS(Students!E:E, A529))</f>
        <v/>
      </c>
      <c r="E529" s="31" t="str">
        <f>IF(LEN(TRIM(A529))=0,"",COUNTIFS(Students!E:E, A529, Students!D:D, "&gt;=0"))</f>
        <v/>
      </c>
      <c r="F529" s="31" t="str">
        <f t="shared" si="16"/>
        <v/>
      </c>
      <c r="G529" s="6" t="str">
        <f t="shared" si="17"/>
        <v/>
      </c>
    </row>
    <row r="530" spans="4:7" x14ac:dyDescent="0.2">
      <c r="D530" s="31" t="str">
        <f>IF(LEN(TRIM(A530))=0,"",COUNTIFS(Students!E:E, A530))</f>
        <v/>
      </c>
      <c r="E530" s="31" t="str">
        <f>IF(LEN(TRIM(A530))=0,"",COUNTIFS(Students!E:E, A530, Students!D:D, "&gt;=0"))</f>
        <v/>
      </c>
      <c r="F530" s="31" t="str">
        <f t="shared" si="16"/>
        <v/>
      </c>
      <c r="G530" s="6" t="str">
        <f t="shared" si="17"/>
        <v/>
      </c>
    </row>
    <row r="531" spans="4:7" x14ac:dyDescent="0.2">
      <c r="D531" s="31" t="str">
        <f>IF(LEN(TRIM(A531))=0,"",COUNTIFS(Students!E:E, A531))</f>
        <v/>
      </c>
      <c r="E531" s="31" t="str">
        <f>IF(LEN(TRIM(A531))=0,"",COUNTIFS(Students!E:E, A531, Students!D:D, "&gt;=0"))</f>
        <v/>
      </c>
      <c r="F531" s="31" t="str">
        <f t="shared" si="16"/>
        <v/>
      </c>
      <c r="G531" s="6" t="str">
        <f t="shared" si="17"/>
        <v/>
      </c>
    </row>
    <row r="532" spans="4:7" x14ac:dyDescent="0.2">
      <c r="D532" s="31" t="str">
        <f>IF(LEN(TRIM(A532))=0,"",COUNTIFS(Students!E:E, A532))</f>
        <v/>
      </c>
      <c r="E532" s="31" t="str">
        <f>IF(LEN(TRIM(A532))=0,"",COUNTIFS(Students!E:E, A532, Students!D:D, "&gt;=0"))</f>
        <v/>
      </c>
      <c r="F532" s="31" t="str">
        <f t="shared" si="16"/>
        <v/>
      </c>
      <c r="G532" s="6" t="str">
        <f t="shared" si="17"/>
        <v/>
      </c>
    </row>
    <row r="533" spans="4:7" x14ac:dyDescent="0.2">
      <c r="D533" s="31" t="str">
        <f>IF(LEN(TRIM(A533))=0,"",COUNTIFS(Students!E:E, A533))</f>
        <v/>
      </c>
      <c r="E533" s="31" t="str">
        <f>IF(LEN(TRIM(A533))=0,"",COUNTIFS(Students!E:E, A533, Students!D:D, "&gt;=0"))</f>
        <v/>
      </c>
      <c r="F533" s="31" t="str">
        <f t="shared" si="16"/>
        <v/>
      </c>
      <c r="G533" s="6" t="str">
        <f t="shared" si="17"/>
        <v/>
      </c>
    </row>
    <row r="534" spans="4:7" x14ac:dyDescent="0.2">
      <c r="D534" s="31" t="str">
        <f>IF(LEN(TRIM(A534))=0,"",COUNTIFS(Students!E:E, A534))</f>
        <v/>
      </c>
      <c r="E534" s="31" t="str">
        <f>IF(LEN(TRIM(A534))=0,"",COUNTIFS(Students!E:E, A534, Students!D:D, "&gt;=0"))</f>
        <v/>
      </c>
      <c r="F534" s="31" t="str">
        <f t="shared" si="16"/>
        <v/>
      </c>
      <c r="G534" s="6" t="str">
        <f t="shared" si="17"/>
        <v/>
      </c>
    </row>
    <row r="535" spans="4:7" x14ac:dyDescent="0.2">
      <c r="D535" s="31" t="str">
        <f>IF(LEN(TRIM(A535))=0,"",COUNTIFS(Students!E:E, A535))</f>
        <v/>
      </c>
      <c r="E535" s="31" t="str">
        <f>IF(LEN(TRIM(A535))=0,"",COUNTIFS(Students!E:E, A535, Students!D:D, "&gt;=0"))</f>
        <v/>
      </c>
      <c r="F535" s="31" t="str">
        <f t="shared" si="16"/>
        <v/>
      </c>
      <c r="G535" s="6" t="str">
        <f t="shared" si="17"/>
        <v/>
      </c>
    </row>
    <row r="536" spans="4:7" x14ac:dyDescent="0.2">
      <c r="D536" s="31" t="str">
        <f>IF(LEN(TRIM(A536))=0,"",COUNTIFS(Students!E:E, A536))</f>
        <v/>
      </c>
      <c r="E536" s="31" t="str">
        <f>IF(LEN(TRIM(A536))=0,"",COUNTIFS(Students!E:E, A536, Students!D:D, "&gt;=0"))</f>
        <v/>
      </c>
      <c r="F536" s="31" t="str">
        <f t="shared" si="16"/>
        <v/>
      </c>
      <c r="G536" s="6" t="str">
        <f t="shared" si="17"/>
        <v/>
      </c>
    </row>
    <row r="537" spans="4:7" x14ac:dyDescent="0.2">
      <c r="D537" s="31" t="str">
        <f>IF(LEN(TRIM(A537))=0,"",COUNTIFS(Students!E:E, A537))</f>
        <v/>
      </c>
      <c r="E537" s="31" t="str">
        <f>IF(LEN(TRIM(A537))=0,"",COUNTIFS(Students!E:E, A537, Students!D:D, "&gt;=0"))</f>
        <v/>
      </c>
      <c r="F537" s="31" t="str">
        <f t="shared" si="16"/>
        <v/>
      </c>
      <c r="G537" s="6" t="str">
        <f t="shared" si="17"/>
        <v/>
      </c>
    </row>
    <row r="538" spans="4:7" x14ac:dyDescent="0.2">
      <c r="D538" s="31" t="str">
        <f>IF(LEN(TRIM(A538))=0,"",COUNTIFS(Students!E:E, A538))</f>
        <v/>
      </c>
      <c r="E538" s="31" t="str">
        <f>IF(LEN(TRIM(A538))=0,"",COUNTIFS(Students!E:E, A538, Students!D:D, "&gt;=0"))</f>
        <v/>
      </c>
      <c r="F538" s="31" t="str">
        <f t="shared" si="16"/>
        <v/>
      </c>
      <c r="G538" s="6" t="str">
        <f t="shared" si="17"/>
        <v/>
      </c>
    </row>
    <row r="539" spans="4:7" x14ac:dyDescent="0.2">
      <c r="D539" s="31" t="str">
        <f>IF(LEN(TRIM(A539))=0,"",COUNTIFS(Students!E:E, A539))</f>
        <v/>
      </c>
      <c r="E539" s="31" t="str">
        <f>IF(LEN(TRIM(A539))=0,"",COUNTIFS(Students!E:E, A539, Students!D:D, "&gt;=0"))</f>
        <v/>
      </c>
      <c r="F539" s="31" t="str">
        <f t="shared" si="16"/>
        <v/>
      </c>
      <c r="G539" s="6" t="str">
        <f t="shared" si="17"/>
        <v/>
      </c>
    </row>
    <row r="540" spans="4:7" x14ac:dyDescent="0.2">
      <c r="D540" s="31" t="str">
        <f>IF(LEN(TRIM(A540))=0,"",COUNTIFS(Students!E:E, A540))</f>
        <v/>
      </c>
      <c r="E540" s="31" t="str">
        <f>IF(LEN(TRIM(A540))=0,"",COUNTIFS(Students!E:E, A540, Students!D:D, "&gt;=0"))</f>
        <v/>
      </c>
      <c r="F540" s="31" t="str">
        <f t="shared" si="16"/>
        <v/>
      </c>
      <c r="G540" s="6" t="str">
        <f t="shared" si="17"/>
        <v/>
      </c>
    </row>
    <row r="541" spans="4:7" x14ac:dyDescent="0.2">
      <c r="D541" s="31" t="str">
        <f>IF(LEN(TRIM(A541))=0,"",COUNTIFS(Students!E:E, A541))</f>
        <v/>
      </c>
      <c r="E541" s="31" t="str">
        <f>IF(LEN(TRIM(A541))=0,"",COUNTIFS(Students!E:E, A541, Students!D:D, "&gt;=0"))</f>
        <v/>
      </c>
      <c r="F541" s="31" t="str">
        <f t="shared" si="16"/>
        <v/>
      </c>
      <c r="G541" s="6" t="str">
        <f t="shared" si="17"/>
        <v/>
      </c>
    </row>
    <row r="542" spans="4:7" x14ac:dyDescent="0.2">
      <c r="D542" s="31" t="str">
        <f>IF(LEN(TRIM(A542))=0,"",COUNTIFS(Students!E:E, A542))</f>
        <v/>
      </c>
      <c r="E542" s="31" t="str">
        <f>IF(LEN(TRIM(A542))=0,"",COUNTIFS(Students!E:E, A542, Students!D:D, "&gt;=0"))</f>
        <v/>
      </c>
      <c r="F542" s="31" t="str">
        <f t="shared" si="16"/>
        <v/>
      </c>
      <c r="G542" s="6" t="str">
        <f t="shared" si="17"/>
        <v/>
      </c>
    </row>
    <row r="543" spans="4:7" x14ac:dyDescent="0.2">
      <c r="D543" s="31" t="str">
        <f>IF(LEN(TRIM(A543))=0,"",COUNTIFS(Students!E:E, A543))</f>
        <v/>
      </c>
      <c r="E543" s="31" t="str">
        <f>IF(LEN(TRIM(A543))=0,"",COUNTIFS(Students!E:E, A543, Students!D:D, "&gt;=0"))</f>
        <v/>
      </c>
      <c r="F543" s="31" t="str">
        <f t="shared" si="16"/>
        <v/>
      </c>
      <c r="G543" s="6" t="str">
        <f t="shared" si="17"/>
        <v/>
      </c>
    </row>
    <row r="544" spans="4:7" x14ac:dyDescent="0.2">
      <c r="D544" s="31" t="str">
        <f>IF(LEN(TRIM(A544))=0,"",COUNTIFS(Students!E:E, A544))</f>
        <v/>
      </c>
      <c r="E544" s="31" t="str">
        <f>IF(LEN(TRIM(A544))=0,"",COUNTIFS(Students!E:E, A544, Students!D:D, "&gt;=0"))</f>
        <v/>
      </c>
      <c r="F544" s="31" t="str">
        <f t="shared" si="16"/>
        <v/>
      </c>
      <c r="G544" s="6" t="str">
        <f t="shared" si="17"/>
        <v/>
      </c>
    </row>
    <row r="545" spans="4:7" x14ac:dyDescent="0.2">
      <c r="D545" s="31" t="str">
        <f>IF(LEN(TRIM(A545))=0,"",COUNTIFS(Students!E:E, A545))</f>
        <v/>
      </c>
      <c r="E545" s="31" t="str">
        <f>IF(LEN(TRIM(A545))=0,"",COUNTIFS(Students!E:E, A545, Students!D:D, "&gt;=0"))</f>
        <v/>
      </c>
      <c r="F545" s="31" t="str">
        <f t="shared" si="16"/>
        <v/>
      </c>
      <c r="G545" s="6" t="str">
        <f t="shared" si="17"/>
        <v/>
      </c>
    </row>
    <row r="546" spans="4:7" x14ac:dyDescent="0.2">
      <c r="D546" s="31" t="str">
        <f>IF(LEN(TRIM(A546))=0,"",COUNTIFS(Students!E:E, A546))</f>
        <v/>
      </c>
      <c r="E546" s="31" t="str">
        <f>IF(LEN(TRIM(A546))=0,"",COUNTIFS(Students!E:E, A546, Students!D:D, "&gt;=0"))</f>
        <v/>
      </c>
      <c r="F546" s="31" t="str">
        <f t="shared" si="16"/>
        <v/>
      </c>
      <c r="G546" s="6" t="str">
        <f t="shared" si="17"/>
        <v/>
      </c>
    </row>
    <row r="547" spans="4:7" x14ac:dyDescent="0.2">
      <c r="D547" s="31" t="str">
        <f>IF(LEN(TRIM(A547))=0,"",COUNTIFS(Students!E:E, A547))</f>
        <v/>
      </c>
      <c r="E547" s="31" t="str">
        <f>IF(LEN(TRIM(A547))=0,"",COUNTIFS(Students!E:E, A547, Students!D:D, "&gt;=0"))</f>
        <v/>
      </c>
      <c r="F547" s="31" t="str">
        <f t="shared" si="16"/>
        <v/>
      </c>
      <c r="G547" s="6" t="str">
        <f t="shared" si="17"/>
        <v/>
      </c>
    </row>
    <row r="548" spans="4:7" x14ac:dyDescent="0.2">
      <c r="D548" s="31" t="str">
        <f>IF(LEN(TRIM(A548))=0,"",COUNTIFS(Students!E:E, A548))</f>
        <v/>
      </c>
      <c r="E548" s="31" t="str">
        <f>IF(LEN(TRIM(A548))=0,"",COUNTIFS(Students!E:E, A548, Students!D:D, "&gt;=0"))</f>
        <v/>
      </c>
      <c r="F548" s="31" t="str">
        <f t="shared" si="16"/>
        <v/>
      </c>
      <c r="G548" s="6" t="str">
        <f t="shared" si="17"/>
        <v/>
      </c>
    </row>
    <row r="549" spans="4:7" x14ac:dyDescent="0.2">
      <c r="D549" s="31" t="str">
        <f>IF(LEN(TRIM(A549))=0,"",COUNTIFS(Students!E:E, A549))</f>
        <v/>
      </c>
      <c r="E549" s="31" t="str">
        <f>IF(LEN(TRIM(A549))=0,"",COUNTIFS(Students!E:E, A549, Students!D:D, "&gt;=0"))</f>
        <v/>
      </c>
      <c r="F549" s="31" t="str">
        <f t="shared" si="16"/>
        <v/>
      </c>
      <c r="G549" s="6" t="str">
        <f t="shared" si="17"/>
        <v/>
      </c>
    </row>
    <row r="550" spans="4:7" x14ac:dyDescent="0.2">
      <c r="D550" s="31" t="str">
        <f>IF(LEN(TRIM(A550))=0,"",COUNTIFS(Students!E:E, A550))</f>
        <v/>
      </c>
      <c r="E550" s="31" t="str">
        <f>IF(LEN(TRIM(A550))=0,"",COUNTIFS(Students!E:E, A550, Students!D:D, "&gt;=0"))</f>
        <v/>
      </c>
      <c r="F550" s="31" t="str">
        <f t="shared" si="16"/>
        <v/>
      </c>
      <c r="G550" s="6" t="str">
        <f t="shared" si="17"/>
        <v/>
      </c>
    </row>
    <row r="551" spans="4:7" x14ac:dyDescent="0.2">
      <c r="D551" s="31" t="str">
        <f>IF(LEN(TRIM(A551))=0,"",COUNTIFS(Students!E:E, A551))</f>
        <v/>
      </c>
      <c r="E551" s="31" t="str">
        <f>IF(LEN(TRIM(A551))=0,"",COUNTIFS(Students!E:E, A551, Students!D:D, "&gt;=0"))</f>
        <v/>
      </c>
      <c r="F551" s="31" t="str">
        <f t="shared" si="16"/>
        <v/>
      </c>
      <c r="G551" s="6" t="str">
        <f t="shared" si="17"/>
        <v/>
      </c>
    </row>
    <row r="552" spans="4:7" x14ac:dyDescent="0.2">
      <c r="D552" s="31" t="str">
        <f>IF(LEN(TRIM(A552))=0,"",COUNTIFS(Students!E:E, A552))</f>
        <v/>
      </c>
      <c r="E552" s="31" t="str">
        <f>IF(LEN(TRIM(A552))=0,"",COUNTIFS(Students!E:E, A552, Students!D:D, "&gt;=0"))</f>
        <v/>
      </c>
      <c r="F552" s="31" t="str">
        <f t="shared" si="16"/>
        <v/>
      </c>
      <c r="G552" s="6" t="str">
        <f t="shared" si="17"/>
        <v/>
      </c>
    </row>
    <row r="553" spans="4:7" x14ac:dyDescent="0.2">
      <c r="D553" s="31" t="str">
        <f>IF(LEN(TRIM(A553))=0,"",COUNTIFS(Students!E:E, A553))</f>
        <v/>
      </c>
      <c r="E553" s="31" t="str">
        <f>IF(LEN(TRIM(A553))=0,"",COUNTIFS(Students!E:E, A553, Students!D:D, "&gt;=0"))</f>
        <v/>
      </c>
      <c r="F553" s="31" t="str">
        <f t="shared" si="16"/>
        <v/>
      </c>
      <c r="G553" s="6" t="str">
        <f t="shared" si="17"/>
        <v/>
      </c>
    </row>
    <row r="554" spans="4:7" x14ac:dyDescent="0.2">
      <c r="D554" s="31" t="str">
        <f>IF(LEN(TRIM(A554))=0,"",COUNTIFS(Students!E:E, A554))</f>
        <v/>
      </c>
      <c r="E554" s="31" t="str">
        <f>IF(LEN(TRIM(A554))=0,"",COUNTIFS(Students!E:E, A554, Students!D:D, "&gt;=0"))</f>
        <v/>
      </c>
      <c r="F554" s="31" t="str">
        <f t="shared" si="16"/>
        <v/>
      </c>
      <c r="G554" s="6" t="str">
        <f t="shared" si="17"/>
        <v/>
      </c>
    </row>
    <row r="555" spans="4:7" x14ac:dyDescent="0.2">
      <c r="D555" s="31" t="str">
        <f>IF(LEN(TRIM(A555))=0,"",COUNTIFS(Students!E:E, A555))</f>
        <v/>
      </c>
      <c r="E555" s="31" t="str">
        <f>IF(LEN(TRIM(A555))=0,"",COUNTIFS(Students!E:E, A555, Students!D:D, "&gt;=0"))</f>
        <v/>
      </c>
      <c r="F555" s="31" t="str">
        <f t="shared" si="16"/>
        <v/>
      </c>
      <c r="G555" s="6" t="str">
        <f t="shared" si="17"/>
        <v/>
      </c>
    </row>
    <row r="556" spans="4:7" x14ac:dyDescent="0.2">
      <c r="D556" s="31" t="str">
        <f>IF(LEN(TRIM(A556))=0,"",COUNTIFS(Students!E:E, A556))</f>
        <v/>
      </c>
      <c r="E556" s="31" t="str">
        <f>IF(LEN(TRIM(A556))=0,"",COUNTIFS(Students!E:E, A556, Students!D:D, "&gt;=0"))</f>
        <v/>
      </c>
      <c r="F556" s="31" t="str">
        <f t="shared" si="16"/>
        <v/>
      </c>
      <c r="G556" s="6" t="str">
        <f t="shared" si="17"/>
        <v/>
      </c>
    </row>
    <row r="557" spans="4:7" x14ac:dyDescent="0.2">
      <c r="D557" s="31" t="str">
        <f>IF(LEN(TRIM(A557))=0,"",COUNTIFS(Students!E:E, A557))</f>
        <v/>
      </c>
      <c r="E557" s="31" t="str">
        <f>IF(LEN(TRIM(A557))=0,"",COUNTIFS(Students!E:E, A557, Students!D:D, "&gt;=0"))</f>
        <v/>
      </c>
      <c r="F557" s="31" t="str">
        <f t="shared" si="16"/>
        <v/>
      </c>
      <c r="G557" s="6" t="str">
        <f t="shared" si="17"/>
        <v/>
      </c>
    </row>
    <row r="558" spans="4:7" x14ac:dyDescent="0.2">
      <c r="D558" s="31" t="str">
        <f>IF(LEN(TRIM(A558))=0,"",COUNTIFS(Students!E:E, A558))</f>
        <v/>
      </c>
      <c r="E558" s="31" t="str">
        <f>IF(LEN(TRIM(A558))=0,"",COUNTIFS(Students!E:E, A558, Students!D:D, "&gt;=0"))</f>
        <v/>
      </c>
      <c r="F558" s="31" t="str">
        <f t="shared" si="16"/>
        <v/>
      </c>
      <c r="G558" s="6" t="str">
        <f t="shared" si="17"/>
        <v/>
      </c>
    </row>
    <row r="559" spans="4:7" x14ac:dyDescent="0.2">
      <c r="D559" s="31" t="str">
        <f>IF(LEN(TRIM(A559))=0,"",COUNTIFS(Students!E:E, A559))</f>
        <v/>
      </c>
      <c r="E559" s="31" t="str">
        <f>IF(LEN(TRIM(A559))=0,"",COUNTIFS(Students!E:E, A559, Students!D:D, "&gt;=0"))</f>
        <v/>
      </c>
      <c r="F559" s="31" t="str">
        <f t="shared" si="16"/>
        <v/>
      </c>
      <c r="G559" s="6" t="str">
        <f t="shared" si="17"/>
        <v/>
      </c>
    </row>
    <row r="560" spans="4:7" x14ac:dyDescent="0.2">
      <c r="D560" s="31" t="str">
        <f>IF(LEN(TRIM(A560))=0,"",COUNTIFS(Students!E:E, A560))</f>
        <v/>
      </c>
      <c r="E560" s="31" t="str">
        <f>IF(LEN(TRIM(A560))=0,"",COUNTIFS(Students!E:E, A560, Students!D:D, "&gt;=0"))</f>
        <v/>
      </c>
      <c r="F560" s="31" t="str">
        <f t="shared" si="16"/>
        <v/>
      </c>
      <c r="G560" s="6" t="str">
        <f t="shared" si="17"/>
        <v/>
      </c>
    </row>
    <row r="561" spans="4:7" x14ac:dyDescent="0.2">
      <c r="D561" s="31" t="str">
        <f>IF(LEN(TRIM(A561))=0,"",COUNTIFS(Students!E:E, A561))</f>
        <v/>
      </c>
      <c r="E561" s="31" t="str">
        <f>IF(LEN(TRIM(A561))=0,"",COUNTIFS(Students!E:E, A561, Students!D:D, "&gt;=0"))</f>
        <v/>
      </c>
      <c r="F561" s="31" t="str">
        <f t="shared" si="16"/>
        <v/>
      </c>
      <c r="G561" s="6" t="str">
        <f t="shared" si="17"/>
        <v/>
      </c>
    </row>
    <row r="562" spans="4:7" x14ac:dyDescent="0.2">
      <c r="D562" s="31" t="str">
        <f>IF(LEN(TRIM(A562))=0,"",COUNTIFS(Students!E:E, A562))</f>
        <v/>
      </c>
      <c r="E562" s="31" t="str">
        <f>IF(LEN(TRIM(A562))=0,"",COUNTIFS(Students!E:E, A562, Students!D:D, "&gt;=0"))</f>
        <v/>
      </c>
      <c r="F562" s="31" t="str">
        <f t="shared" si="16"/>
        <v/>
      </c>
      <c r="G562" s="6" t="str">
        <f t="shared" si="17"/>
        <v/>
      </c>
    </row>
    <row r="563" spans="4:7" x14ac:dyDescent="0.2">
      <c r="D563" s="31" t="str">
        <f>IF(LEN(TRIM(A563))=0,"",COUNTIFS(Students!E:E, A563))</f>
        <v/>
      </c>
      <c r="E563" s="31" t="str">
        <f>IF(LEN(TRIM(A563))=0,"",COUNTIFS(Students!E:E, A563, Students!D:D, "&gt;=0"))</f>
        <v/>
      </c>
      <c r="F563" s="31" t="str">
        <f t="shared" si="16"/>
        <v/>
      </c>
      <c r="G563" s="6" t="str">
        <f t="shared" si="17"/>
        <v/>
      </c>
    </row>
    <row r="564" spans="4:7" x14ac:dyDescent="0.2">
      <c r="D564" s="31" t="str">
        <f>IF(LEN(TRIM(A564))=0,"",COUNTIFS(Students!E:E, A564))</f>
        <v/>
      </c>
      <c r="E564" s="31" t="str">
        <f>IF(LEN(TRIM(A564))=0,"",COUNTIFS(Students!E:E, A564, Students!D:D, "&gt;=0"))</f>
        <v/>
      </c>
      <c r="F564" s="31" t="str">
        <f t="shared" si="16"/>
        <v/>
      </c>
      <c r="G564" s="6" t="str">
        <f t="shared" si="17"/>
        <v/>
      </c>
    </row>
    <row r="565" spans="4:7" x14ac:dyDescent="0.2">
      <c r="D565" s="31" t="str">
        <f>IF(LEN(TRIM(A565))=0,"",COUNTIFS(Students!E:E, A565))</f>
        <v/>
      </c>
      <c r="E565" s="31" t="str">
        <f>IF(LEN(TRIM(A565))=0,"",COUNTIFS(Students!E:E, A565, Students!D:D, "&gt;=0"))</f>
        <v/>
      </c>
      <c r="F565" s="31" t="str">
        <f t="shared" si="16"/>
        <v/>
      </c>
      <c r="G565" s="6" t="str">
        <f t="shared" si="17"/>
        <v/>
      </c>
    </row>
    <row r="566" spans="4:7" x14ac:dyDescent="0.2">
      <c r="D566" s="31" t="str">
        <f>IF(LEN(TRIM(A566))=0,"",COUNTIFS(Students!E:E, A566))</f>
        <v/>
      </c>
      <c r="E566" s="31" t="str">
        <f>IF(LEN(TRIM(A566))=0,"",COUNTIFS(Students!E:E, A566, Students!D:D, "&gt;=0"))</f>
        <v/>
      </c>
      <c r="F566" s="31" t="str">
        <f t="shared" si="16"/>
        <v/>
      </c>
      <c r="G566" s="6" t="str">
        <f t="shared" si="17"/>
        <v/>
      </c>
    </row>
    <row r="567" spans="4:7" x14ac:dyDescent="0.2">
      <c r="D567" s="31" t="str">
        <f>IF(LEN(TRIM(A567))=0,"",COUNTIFS(Students!E:E, A567))</f>
        <v/>
      </c>
      <c r="E567" s="31" t="str">
        <f>IF(LEN(TRIM(A567))=0,"",COUNTIFS(Students!E:E, A567, Students!D:D, "&gt;=0"))</f>
        <v/>
      </c>
      <c r="F567" s="31" t="str">
        <f t="shared" si="16"/>
        <v/>
      </c>
      <c r="G567" s="6" t="str">
        <f t="shared" si="17"/>
        <v/>
      </c>
    </row>
    <row r="568" spans="4:7" x14ac:dyDescent="0.2">
      <c r="D568" s="31" t="str">
        <f>IF(LEN(TRIM(A568))=0,"",COUNTIFS(Students!E:E, A568))</f>
        <v/>
      </c>
      <c r="E568" s="31" t="str">
        <f>IF(LEN(TRIM(A568))=0,"",COUNTIFS(Students!E:E, A568, Students!D:D, "&gt;=0"))</f>
        <v/>
      </c>
      <c r="F568" s="31" t="str">
        <f t="shared" si="16"/>
        <v/>
      </c>
      <c r="G568" s="6" t="str">
        <f t="shared" si="17"/>
        <v/>
      </c>
    </row>
    <row r="569" spans="4:7" x14ac:dyDescent="0.2">
      <c r="D569" s="31" t="str">
        <f>IF(LEN(TRIM(A569))=0,"",COUNTIFS(Students!E:E, A569))</f>
        <v/>
      </c>
      <c r="E569" s="31" t="str">
        <f>IF(LEN(TRIM(A569))=0,"",COUNTIFS(Students!E:E, A569, Students!D:D, "&gt;=0"))</f>
        <v/>
      </c>
      <c r="F569" s="31" t="str">
        <f t="shared" si="16"/>
        <v/>
      </c>
      <c r="G569" s="6" t="str">
        <f t="shared" si="17"/>
        <v/>
      </c>
    </row>
    <row r="570" spans="4:7" x14ac:dyDescent="0.2">
      <c r="D570" s="31" t="str">
        <f>IF(LEN(TRIM(A570))=0,"",COUNTIFS(Students!E:E, A570))</f>
        <v/>
      </c>
      <c r="E570" s="31" t="str">
        <f>IF(LEN(TRIM(A570))=0,"",COUNTIFS(Students!E:E, A570, Students!D:D, "&gt;=0"))</f>
        <v/>
      </c>
      <c r="F570" s="31" t="str">
        <f t="shared" si="16"/>
        <v/>
      </c>
      <c r="G570" s="6" t="str">
        <f t="shared" si="17"/>
        <v/>
      </c>
    </row>
    <row r="571" spans="4:7" x14ac:dyDescent="0.2">
      <c r="D571" s="31" t="str">
        <f>IF(LEN(TRIM(A571))=0,"",COUNTIFS(Students!E:E, A571))</f>
        <v/>
      </c>
      <c r="E571" s="31" t="str">
        <f>IF(LEN(TRIM(A571))=0,"",COUNTIFS(Students!E:E, A571, Students!D:D, "&gt;=0"))</f>
        <v/>
      </c>
      <c r="F571" s="31" t="str">
        <f t="shared" si="16"/>
        <v/>
      </c>
      <c r="G571" s="6" t="str">
        <f t="shared" si="17"/>
        <v/>
      </c>
    </row>
    <row r="572" spans="4:7" x14ac:dyDescent="0.2">
      <c r="D572" s="31" t="str">
        <f>IF(LEN(TRIM(A572))=0,"",COUNTIFS(Students!E:E, A572))</f>
        <v/>
      </c>
      <c r="E572" s="31" t="str">
        <f>IF(LEN(TRIM(A572))=0,"",COUNTIFS(Students!E:E, A572, Students!D:D, "&gt;=0"))</f>
        <v/>
      </c>
      <c r="F572" s="31" t="str">
        <f t="shared" si="16"/>
        <v/>
      </c>
      <c r="G572" s="6" t="str">
        <f t="shared" si="17"/>
        <v/>
      </c>
    </row>
    <row r="573" spans="4:7" x14ac:dyDescent="0.2">
      <c r="D573" s="31" t="str">
        <f>IF(LEN(TRIM(A573))=0,"",COUNTIFS(Students!E:E, A573))</f>
        <v/>
      </c>
      <c r="E573" s="31" t="str">
        <f>IF(LEN(TRIM(A573))=0,"",COUNTIFS(Students!E:E, A573, Students!D:D, "&gt;=0"))</f>
        <v/>
      </c>
      <c r="F573" s="31" t="str">
        <f t="shared" si="16"/>
        <v/>
      </c>
      <c r="G573" s="6" t="str">
        <f t="shared" si="17"/>
        <v/>
      </c>
    </row>
    <row r="574" spans="4:7" x14ac:dyDescent="0.2">
      <c r="D574" s="31" t="str">
        <f>IF(LEN(TRIM(A574))=0,"",COUNTIFS(Students!E:E, A574))</f>
        <v/>
      </c>
      <c r="E574" s="31" t="str">
        <f>IF(LEN(TRIM(A574))=0,"",COUNTIFS(Students!E:E, A574, Students!D:D, "&gt;=0"))</f>
        <v/>
      </c>
      <c r="F574" s="31" t="str">
        <f t="shared" si="16"/>
        <v/>
      </c>
      <c r="G574" s="6" t="str">
        <f t="shared" si="17"/>
        <v/>
      </c>
    </row>
    <row r="575" spans="4:7" x14ac:dyDescent="0.2">
      <c r="D575" s="31" t="str">
        <f>IF(LEN(TRIM(A575))=0,"",COUNTIFS(Students!E:E, A575))</f>
        <v/>
      </c>
      <c r="E575" s="31" t="str">
        <f>IF(LEN(TRIM(A575))=0,"",COUNTIFS(Students!E:E, A575, Students!D:D, "&gt;=0"))</f>
        <v/>
      </c>
      <c r="F575" s="31" t="str">
        <f t="shared" si="16"/>
        <v/>
      </c>
      <c r="G575" s="6" t="str">
        <f t="shared" si="17"/>
        <v/>
      </c>
    </row>
    <row r="576" spans="4:7" x14ac:dyDescent="0.2">
      <c r="D576" s="31" t="str">
        <f>IF(LEN(TRIM(A576))=0,"",COUNTIFS(Students!E:E, A576))</f>
        <v/>
      </c>
      <c r="E576" s="31" t="str">
        <f>IF(LEN(TRIM(A576))=0,"",COUNTIFS(Students!E:E, A576, Students!D:D, "&gt;=0"))</f>
        <v/>
      </c>
      <c r="F576" s="31" t="str">
        <f t="shared" si="16"/>
        <v/>
      </c>
      <c r="G576" s="6" t="str">
        <f t="shared" si="17"/>
        <v/>
      </c>
    </row>
    <row r="577" spans="4:7" x14ac:dyDescent="0.2">
      <c r="D577" s="31" t="str">
        <f>IF(LEN(TRIM(A577))=0,"",COUNTIFS(Students!E:E, A577))</f>
        <v/>
      </c>
      <c r="E577" s="31" t="str">
        <f>IF(LEN(TRIM(A577))=0,"",COUNTIFS(Students!E:E, A577, Students!D:D, "&gt;=0"))</f>
        <v/>
      </c>
      <c r="F577" s="31" t="str">
        <f t="shared" si="16"/>
        <v/>
      </c>
      <c r="G577" s="6" t="str">
        <f t="shared" si="17"/>
        <v/>
      </c>
    </row>
    <row r="578" spans="4:7" x14ac:dyDescent="0.2">
      <c r="D578" s="31" t="str">
        <f>IF(LEN(TRIM(A578))=0,"",COUNTIFS(Students!E:E, A578))</f>
        <v/>
      </c>
      <c r="E578" s="31" t="str">
        <f>IF(LEN(TRIM(A578))=0,"",COUNTIFS(Students!E:E, A578, Students!D:D, "&gt;=0"))</f>
        <v/>
      </c>
      <c r="F578" s="31" t="str">
        <f t="shared" si="16"/>
        <v/>
      </c>
      <c r="G578" s="6" t="str">
        <f t="shared" si="17"/>
        <v/>
      </c>
    </row>
    <row r="579" spans="4:7" x14ac:dyDescent="0.2">
      <c r="D579" s="31" t="str">
        <f>IF(LEN(TRIM(A579))=0,"",COUNTIFS(Students!E:E, A579))</f>
        <v/>
      </c>
      <c r="E579" s="31" t="str">
        <f>IF(LEN(TRIM(A579))=0,"",COUNTIFS(Students!E:E, A579, Students!D:D, "&gt;=0"))</f>
        <v/>
      </c>
      <c r="F579" s="31" t="str">
        <f t="shared" ref="F579:F642" si="18">IFERROR(D579-E579,"")</f>
        <v/>
      </c>
      <c r="G579" s="6" t="str">
        <f t="shared" ref="G579:G642" si="19">IFERROR(IF(D579=0, "N/A", E579/D579),"")</f>
        <v/>
      </c>
    </row>
    <row r="580" spans="4:7" x14ac:dyDescent="0.2">
      <c r="D580" s="31" t="str">
        <f>IF(LEN(TRIM(A580))=0,"",COUNTIFS(Students!E:E, A580))</f>
        <v/>
      </c>
      <c r="E580" s="31" t="str">
        <f>IF(LEN(TRIM(A580))=0,"",COUNTIFS(Students!E:E, A580, Students!D:D, "&gt;=0"))</f>
        <v/>
      </c>
      <c r="F580" s="31" t="str">
        <f t="shared" si="18"/>
        <v/>
      </c>
      <c r="G580" s="6" t="str">
        <f t="shared" si="19"/>
        <v/>
      </c>
    </row>
    <row r="581" spans="4:7" x14ac:dyDescent="0.2">
      <c r="D581" s="31" t="str">
        <f>IF(LEN(TRIM(A581))=0,"",COUNTIFS(Students!E:E, A581))</f>
        <v/>
      </c>
      <c r="E581" s="31" t="str">
        <f>IF(LEN(TRIM(A581))=0,"",COUNTIFS(Students!E:E, A581, Students!D:D, "&gt;=0"))</f>
        <v/>
      </c>
      <c r="F581" s="31" t="str">
        <f t="shared" si="18"/>
        <v/>
      </c>
      <c r="G581" s="6" t="str">
        <f t="shared" si="19"/>
        <v/>
      </c>
    </row>
    <row r="582" spans="4:7" x14ac:dyDescent="0.2">
      <c r="D582" s="31" t="str">
        <f>IF(LEN(TRIM(A582))=0,"",COUNTIFS(Students!E:E, A582))</f>
        <v/>
      </c>
      <c r="E582" s="31" t="str">
        <f>IF(LEN(TRIM(A582))=0,"",COUNTIFS(Students!E:E, A582, Students!D:D, "&gt;=0"))</f>
        <v/>
      </c>
      <c r="F582" s="31" t="str">
        <f t="shared" si="18"/>
        <v/>
      </c>
      <c r="G582" s="6" t="str">
        <f t="shared" si="19"/>
        <v/>
      </c>
    </row>
    <row r="583" spans="4:7" x14ac:dyDescent="0.2">
      <c r="D583" s="31" t="str">
        <f>IF(LEN(TRIM(A583))=0,"",COUNTIFS(Students!E:E, A583))</f>
        <v/>
      </c>
      <c r="E583" s="31" t="str">
        <f>IF(LEN(TRIM(A583))=0,"",COUNTIFS(Students!E:E, A583, Students!D:D, "&gt;=0"))</f>
        <v/>
      </c>
      <c r="F583" s="31" t="str">
        <f t="shared" si="18"/>
        <v/>
      </c>
      <c r="G583" s="6" t="str">
        <f t="shared" si="19"/>
        <v/>
      </c>
    </row>
    <row r="584" spans="4:7" x14ac:dyDescent="0.2">
      <c r="D584" s="31" t="str">
        <f>IF(LEN(TRIM(A584))=0,"",COUNTIFS(Students!E:E, A584))</f>
        <v/>
      </c>
      <c r="E584" s="31" t="str">
        <f>IF(LEN(TRIM(A584))=0,"",COUNTIFS(Students!E:E, A584, Students!D:D, "&gt;=0"))</f>
        <v/>
      </c>
      <c r="F584" s="31" t="str">
        <f t="shared" si="18"/>
        <v/>
      </c>
      <c r="G584" s="6" t="str">
        <f t="shared" si="19"/>
        <v/>
      </c>
    </row>
    <row r="585" spans="4:7" x14ac:dyDescent="0.2">
      <c r="D585" s="31" t="str">
        <f>IF(LEN(TRIM(A585))=0,"",COUNTIFS(Students!E:E, A585))</f>
        <v/>
      </c>
      <c r="E585" s="31" t="str">
        <f>IF(LEN(TRIM(A585))=0,"",COUNTIFS(Students!E:E, A585, Students!D:D, "&gt;=0"))</f>
        <v/>
      </c>
      <c r="F585" s="31" t="str">
        <f t="shared" si="18"/>
        <v/>
      </c>
      <c r="G585" s="6" t="str">
        <f t="shared" si="19"/>
        <v/>
      </c>
    </row>
    <row r="586" spans="4:7" x14ac:dyDescent="0.2">
      <c r="D586" s="31" t="str">
        <f>IF(LEN(TRIM(A586))=0,"",COUNTIFS(Students!E:E, A586))</f>
        <v/>
      </c>
      <c r="E586" s="31" t="str">
        <f>IF(LEN(TRIM(A586))=0,"",COUNTIFS(Students!E:E, A586, Students!D:D, "&gt;=0"))</f>
        <v/>
      </c>
      <c r="F586" s="31" t="str">
        <f t="shared" si="18"/>
        <v/>
      </c>
      <c r="G586" s="6" t="str">
        <f t="shared" si="19"/>
        <v/>
      </c>
    </row>
    <row r="587" spans="4:7" x14ac:dyDescent="0.2">
      <c r="D587" s="31" t="str">
        <f>IF(LEN(TRIM(A587))=0,"",COUNTIFS(Students!E:E, A587))</f>
        <v/>
      </c>
      <c r="E587" s="31" t="str">
        <f>IF(LEN(TRIM(A587))=0,"",COUNTIFS(Students!E:E, A587, Students!D:D, "&gt;=0"))</f>
        <v/>
      </c>
      <c r="F587" s="31" t="str">
        <f t="shared" si="18"/>
        <v/>
      </c>
      <c r="G587" s="6" t="str">
        <f t="shared" si="19"/>
        <v/>
      </c>
    </row>
    <row r="588" spans="4:7" x14ac:dyDescent="0.2">
      <c r="D588" s="31" t="str">
        <f>IF(LEN(TRIM(A588))=0,"",COUNTIFS(Students!E:E, A588))</f>
        <v/>
      </c>
      <c r="E588" s="31" t="str">
        <f>IF(LEN(TRIM(A588))=0,"",COUNTIFS(Students!E:E, A588, Students!D:D, "&gt;=0"))</f>
        <v/>
      </c>
      <c r="F588" s="31" t="str">
        <f t="shared" si="18"/>
        <v/>
      </c>
      <c r="G588" s="6" t="str">
        <f t="shared" si="19"/>
        <v/>
      </c>
    </row>
    <row r="589" spans="4:7" x14ac:dyDescent="0.2">
      <c r="D589" s="31" t="str">
        <f>IF(LEN(TRIM(A589))=0,"",COUNTIFS(Students!E:E, A589))</f>
        <v/>
      </c>
      <c r="E589" s="31" t="str">
        <f>IF(LEN(TRIM(A589))=0,"",COUNTIFS(Students!E:E, A589, Students!D:D, "&gt;=0"))</f>
        <v/>
      </c>
      <c r="F589" s="31" t="str">
        <f t="shared" si="18"/>
        <v/>
      </c>
      <c r="G589" s="6" t="str">
        <f t="shared" si="19"/>
        <v/>
      </c>
    </row>
    <row r="590" spans="4:7" x14ac:dyDescent="0.2">
      <c r="D590" s="31" t="str">
        <f>IF(LEN(TRIM(A590))=0,"",COUNTIFS(Students!E:E, A590))</f>
        <v/>
      </c>
      <c r="E590" s="31" t="str">
        <f>IF(LEN(TRIM(A590))=0,"",COUNTIFS(Students!E:E, A590, Students!D:D, "&gt;=0"))</f>
        <v/>
      </c>
      <c r="F590" s="31" t="str">
        <f t="shared" si="18"/>
        <v/>
      </c>
      <c r="G590" s="6" t="str">
        <f t="shared" si="19"/>
        <v/>
      </c>
    </row>
    <row r="591" spans="4:7" x14ac:dyDescent="0.2">
      <c r="D591" s="31" t="str">
        <f>IF(LEN(TRIM(A591))=0,"",COUNTIFS(Students!E:E, A591))</f>
        <v/>
      </c>
      <c r="E591" s="31" t="str">
        <f>IF(LEN(TRIM(A591))=0,"",COUNTIFS(Students!E:E, A591, Students!D:D, "&gt;=0"))</f>
        <v/>
      </c>
      <c r="F591" s="31" t="str">
        <f t="shared" si="18"/>
        <v/>
      </c>
      <c r="G591" s="6" t="str">
        <f t="shared" si="19"/>
        <v/>
      </c>
    </row>
    <row r="592" spans="4:7" x14ac:dyDescent="0.2">
      <c r="D592" s="31" t="str">
        <f>IF(LEN(TRIM(A592))=0,"",COUNTIFS(Students!E:E, A592))</f>
        <v/>
      </c>
      <c r="E592" s="31" t="str">
        <f>IF(LEN(TRIM(A592))=0,"",COUNTIFS(Students!E:E, A592, Students!D:D, "&gt;=0"))</f>
        <v/>
      </c>
      <c r="F592" s="31" t="str">
        <f t="shared" si="18"/>
        <v/>
      </c>
      <c r="G592" s="6" t="str">
        <f t="shared" si="19"/>
        <v/>
      </c>
    </row>
    <row r="593" spans="4:7" x14ac:dyDescent="0.2">
      <c r="D593" s="31" t="str">
        <f>IF(LEN(TRIM(A593))=0,"",COUNTIFS(Students!E:E, A593))</f>
        <v/>
      </c>
      <c r="E593" s="31" t="str">
        <f>IF(LEN(TRIM(A593))=0,"",COUNTIFS(Students!E:E, A593, Students!D:D, "&gt;=0"))</f>
        <v/>
      </c>
      <c r="F593" s="31" t="str">
        <f t="shared" si="18"/>
        <v/>
      </c>
      <c r="G593" s="6" t="str">
        <f t="shared" si="19"/>
        <v/>
      </c>
    </row>
    <row r="594" spans="4:7" x14ac:dyDescent="0.2">
      <c r="D594" s="31" t="str">
        <f>IF(LEN(TRIM(A594))=0,"",COUNTIFS(Students!E:E, A594))</f>
        <v/>
      </c>
      <c r="E594" s="31" t="str">
        <f>IF(LEN(TRIM(A594))=0,"",COUNTIFS(Students!E:E, A594, Students!D:D, "&gt;=0"))</f>
        <v/>
      </c>
      <c r="F594" s="31" t="str">
        <f t="shared" si="18"/>
        <v/>
      </c>
      <c r="G594" s="6" t="str">
        <f t="shared" si="19"/>
        <v/>
      </c>
    </row>
    <row r="595" spans="4:7" x14ac:dyDescent="0.2">
      <c r="D595" s="31" t="str">
        <f>IF(LEN(TRIM(A595))=0,"",COUNTIFS(Students!E:E, A595))</f>
        <v/>
      </c>
      <c r="E595" s="31" t="str">
        <f>IF(LEN(TRIM(A595))=0,"",COUNTIFS(Students!E:E, A595, Students!D:D, "&gt;=0"))</f>
        <v/>
      </c>
      <c r="F595" s="31" t="str">
        <f t="shared" si="18"/>
        <v/>
      </c>
      <c r="G595" s="6" t="str">
        <f t="shared" si="19"/>
        <v/>
      </c>
    </row>
    <row r="596" spans="4:7" x14ac:dyDescent="0.2">
      <c r="D596" s="31" t="str">
        <f>IF(LEN(TRIM(A596))=0,"",COUNTIFS(Students!E:E, A596))</f>
        <v/>
      </c>
      <c r="E596" s="31" t="str">
        <f>IF(LEN(TRIM(A596))=0,"",COUNTIFS(Students!E:E, A596, Students!D:D, "&gt;=0"))</f>
        <v/>
      </c>
      <c r="F596" s="31" t="str">
        <f t="shared" si="18"/>
        <v/>
      </c>
      <c r="G596" s="6" t="str">
        <f t="shared" si="19"/>
        <v/>
      </c>
    </row>
    <row r="597" spans="4:7" x14ac:dyDescent="0.2">
      <c r="D597" s="31" t="str">
        <f>IF(LEN(TRIM(A597))=0,"",COUNTIFS(Students!E:E, A597))</f>
        <v/>
      </c>
      <c r="E597" s="31" t="str">
        <f>IF(LEN(TRIM(A597))=0,"",COUNTIFS(Students!E:E, A597, Students!D:D, "&gt;=0"))</f>
        <v/>
      </c>
      <c r="F597" s="31" t="str">
        <f t="shared" si="18"/>
        <v/>
      </c>
      <c r="G597" s="6" t="str">
        <f t="shared" si="19"/>
        <v/>
      </c>
    </row>
    <row r="598" spans="4:7" x14ac:dyDescent="0.2">
      <c r="D598" s="31" t="str">
        <f>IF(LEN(TRIM(A598))=0,"",COUNTIFS(Students!E:E, A598))</f>
        <v/>
      </c>
      <c r="E598" s="31" t="str">
        <f>IF(LEN(TRIM(A598))=0,"",COUNTIFS(Students!E:E, A598, Students!D:D, "&gt;=0"))</f>
        <v/>
      </c>
      <c r="F598" s="31" t="str">
        <f t="shared" si="18"/>
        <v/>
      </c>
      <c r="G598" s="6" t="str">
        <f t="shared" si="19"/>
        <v/>
      </c>
    </row>
    <row r="599" spans="4:7" x14ac:dyDescent="0.2">
      <c r="D599" s="31" t="str">
        <f>IF(LEN(TRIM(A599))=0,"",COUNTIFS(Students!E:E, A599))</f>
        <v/>
      </c>
      <c r="E599" s="31" t="str">
        <f>IF(LEN(TRIM(A599))=0,"",COUNTIFS(Students!E:E, A599, Students!D:D, "&gt;=0"))</f>
        <v/>
      </c>
      <c r="F599" s="31" t="str">
        <f t="shared" si="18"/>
        <v/>
      </c>
      <c r="G599" s="6" t="str">
        <f t="shared" si="19"/>
        <v/>
      </c>
    </row>
    <row r="600" spans="4:7" x14ac:dyDescent="0.2">
      <c r="D600" s="31" t="str">
        <f>IF(LEN(TRIM(A600))=0,"",COUNTIFS(Students!E:E, A600))</f>
        <v/>
      </c>
      <c r="E600" s="31" t="str">
        <f>IF(LEN(TRIM(A600))=0,"",COUNTIFS(Students!E:E, A600, Students!D:D, "&gt;=0"))</f>
        <v/>
      </c>
      <c r="F600" s="31" t="str">
        <f t="shared" si="18"/>
        <v/>
      </c>
      <c r="G600" s="6" t="str">
        <f t="shared" si="19"/>
        <v/>
      </c>
    </row>
    <row r="601" spans="4:7" x14ac:dyDescent="0.2">
      <c r="D601" s="31" t="str">
        <f>IF(LEN(TRIM(A601))=0,"",COUNTIFS(Students!E:E, A601))</f>
        <v/>
      </c>
      <c r="E601" s="31" t="str">
        <f>IF(LEN(TRIM(A601))=0,"",COUNTIFS(Students!E:E, A601, Students!D:D, "&gt;=0"))</f>
        <v/>
      </c>
      <c r="F601" s="31" t="str">
        <f t="shared" si="18"/>
        <v/>
      </c>
      <c r="G601" s="6" t="str">
        <f t="shared" si="19"/>
        <v/>
      </c>
    </row>
    <row r="602" spans="4:7" x14ac:dyDescent="0.2">
      <c r="D602" s="31" t="str">
        <f>IF(LEN(TRIM(A602))=0,"",COUNTIFS(Students!E:E, A602))</f>
        <v/>
      </c>
      <c r="E602" s="31" t="str">
        <f>IF(LEN(TRIM(A602))=0,"",COUNTIFS(Students!E:E, A602, Students!D:D, "&gt;=0"))</f>
        <v/>
      </c>
      <c r="F602" s="31" t="str">
        <f t="shared" si="18"/>
        <v/>
      </c>
      <c r="G602" s="6" t="str">
        <f t="shared" si="19"/>
        <v/>
      </c>
    </row>
    <row r="603" spans="4:7" x14ac:dyDescent="0.2">
      <c r="D603" s="31" t="str">
        <f>IF(LEN(TRIM(A603))=0,"",COUNTIFS(Students!E:E, A603))</f>
        <v/>
      </c>
      <c r="E603" s="31" t="str">
        <f>IF(LEN(TRIM(A603))=0,"",COUNTIFS(Students!E:E, A603, Students!D:D, "&gt;=0"))</f>
        <v/>
      </c>
      <c r="F603" s="31" t="str">
        <f t="shared" si="18"/>
        <v/>
      </c>
      <c r="G603" s="6" t="str">
        <f t="shared" si="19"/>
        <v/>
      </c>
    </row>
    <row r="604" spans="4:7" x14ac:dyDescent="0.2">
      <c r="D604" s="31" t="str">
        <f>IF(LEN(TRIM(A604))=0,"",COUNTIFS(Students!E:E, A604))</f>
        <v/>
      </c>
      <c r="E604" s="31" t="str">
        <f>IF(LEN(TRIM(A604))=0,"",COUNTIFS(Students!E:E, A604, Students!D:D, "&gt;=0"))</f>
        <v/>
      </c>
      <c r="F604" s="31" t="str">
        <f t="shared" si="18"/>
        <v/>
      </c>
      <c r="G604" s="6" t="str">
        <f t="shared" si="19"/>
        <v/>
      </c>
    </row>
    <row r="605" spans="4:7" x14ac:dyDescent="0.2">
      <c r="D605" s="31" t="str">
        <f>IF(LEN(TRIM(A605))=0,"",COUNTIFS(Students!E:E, A605))</f>
        <v/>
      </c>
      <c r="E605" s="31" t="str">
        <f>IF(LEN(TRIM(A605))=0,"",COUNTIFS(Students!E:E, A605, Students!D:D, "&gt;=0"))</f>
        <v/>
      </c>
      <c r="F605" s="31" t="str">
        <f t="shared" si="18"/>
        <v/>
      </c>
      <c r="G605" s="6" t="str">
        <f t="shared" si="19"/>
        <v/>
      </c>
    </row>
    <row r="606" spans="4:7" x14ac:dyDescent="0.2">
      <c r="D606" s="31" t="str">
        <f>IF(LEN(TRIM(A606))=0,"",COUNTIFS(Students!E:E, A606))</f>
        <v/>
      </c>
      <c r="E606" s="31" t="str">
        <f>IF(LEN(TRIM(A606))=0,"",COUNTIFS(Students!E:E, A606, Students!D:D, "&gt;=0"))</f>
        <v/>
      </c>
      <c r="F606" s="31" t="str">
        <f t="shared" si="18"/>
        <v/>
      </c>
      <c r="G606" s="6" t="str">
        <f t="shared" si="19"/>
        <v/>
      </c>
    </row>
    <row r="607" spans="4:7" x14ac:dyDescent="0.2">
      <c r="D607" s="31" t="str">
        <f>IF(LEN(TRIM(A607))=0,"",COUNTIFS(Students!E:E, A607))</f>
        <v/>
      </c>
      <c r="E607" s="31" t="str">
        <f>IF(LEN(TRIM(A607))=0,"",COUNTIFS(Students!E:E, A607, Students!D:D, "&gt;=0"))</f>
        <v/>
      </c>
      <c r="F607" s="31" t="str">
        <f t="shared" si="18"/>
        <v/>
      </c>
      <c r="G607" s="6" t="str">
        <f t="shared" si="19"/>
        <v/>
      </c>
    </row>
    <row r="608" spans="4:7" x14ac:dyDescent="0.2">
      <c r="D608" s="31" t="str">
        <f>IF(LEN(TRIM(A608))=0,"",COUNTIFS(Students!E:E, A608))</f>
        <v/>
      </c>
      <c r="E608" s="31" t="str">
        <f>IF(LEN(TRIM(A608))=0,"",COUNTIFS(Students!E:E, A608, Students!D:D, "&gt;=0"))</f>
        <v/>
      </c>
      <c r="F608" s="31" t="str">
        <f t="shared" si="18"/>
        <v/>
      </c>
      <c r="G608" s="6" t="str">
        <f t="shared" si="19"/>
        <v/>
      </c>
    </row>
    <row r="609" spans="4:7" x14ac:dyDescent="0.2">
      <c r="D609" s="31" t="str">
        <f>IF(LEN(TRIM(A609))=0,"",COUNTIFS(Students!E:E, A609))</f>
        <v/>
      </c>
      <c r="E609" s="31" t="str">
        <f>IF(LEN(TRIM(A609))=0,"",COUNTIFS(Students!E:E, A609, Students!D:D, "&gt;=0"))</f>
        <v/>
      </c>
      <c r="F609" s="31" t="str">
        <f t="shared" si="18"/>
        <v/>
      </c>
      <c r="G609" s="6" t="str">
        <f t="shared" si="19"/>
        <v/>
      </c>
    </row>
    <row r="610" spans="4:7" x14ac:dyDescent="0.2">
      <c r="D610" s="31" t="str">
        <f>IF(LEN(TRIM(A610))=0,"",COUNTIFS(Students!E:E, A610))</f>
        <v/>
      </c>
      <c r="E610" s="31" t="str">
        <f>IF(LEN(TRIM(A610))=0,"",COUNTIFS(Students!E:E, A610, Students!D:D, "&gt;=0"))</f>
        <v/>
      </c>
      <c r="F610" s="31" t="str">
        <f t="shared" si="18"/>
        <v/>
      </c>
      <c r="G610" s="6" t="str">
        <f t="shared" si="19"/>
        <v/>
      </c>
    </row>
    <row r="611" spans="4:7" x14ac:dyDescent="0.2">
      <c r="D611" s="31" t="str">
        <f>IF(LEN(TRIM(A611))=0,"",COUNTIFS(Students!E:E, A611))</f>
        <v/>
      </c>
      <c r="E611" s="31" t="str">
        <f>IF(LEN(TRIM(A611))=0,"",COUNTIFS(Students!E:E, A611, Students!D:D, "&gt;=0"))</f>
        <v/>
      </c>
      <c r="F611" s="31" t="str">
        <f t="shared" si="18"/>
        <v/>
      </c>
      <c r="G611" s="6" t="str">
        <f t="shared" si="19"/>
        <v/>
      </c>
    </row>
    <row r="612" spans="4:7" x14ac:dyDescent="0.2">
      <c r="D612" s="31" t="str">
        <f>IF(LEN(TRIM(A612))=0,"",COUNTIFS(Students!E:E, A612))</f>
        <v/>
      </c>
      <c r="E612" s="31" t="str">
        <f>IF(LEN(TRIM(A612))=0,"",COUNTIFS(Students!E:E, A612, Students!D:D, "&gt;=0"))</f>
        <v/>
      </c>
      <c r="F612" s="31" t="str">
        <f t="shared" si="18"/>
        <v/>
      </c>
      <c r="G612" s="6" t="str">
        <f t="shared" si="19"/>
        <v/>
      </c>
    </row>
    <row r="613" spans="4:7" x14ac:dyDescent="0.2">
      <c r="D613" s="31" t="str">
        <f>IF(LEN(TRIM(A613))=0,"",COUNTIFS(Students!E:E, A613))</f>
        <v/>
      </c>
      <c r="E613" s="31" t="str">
        <f>IF(LEN(TRIM(A613))=0,"",COUNTIFS(Students!E:E, A613, Students!D:D, "&gt;=0"))</f>
        <v/>
      </c>
      <c r="F613" s="31" t="str">
        <f t="shared" si="18"/>
        <v/>
      </c>
      <c r="G613" s="6" t="str">
        <f t="shared" si="19"/>
        <v/>
      </c>
    </row>
    <row r="614" spans="4:7" x14ac:dyDescent="0.2">
      <c r="D614" s="31" t="str">
        <f>IF(LEN(TRIM(A614))=0,"",COUNTIFS(Students!E:E, A614))</f>
        <v/>
      </c>
      <c r="E614" s="31" t="str">
        <f>IF(LEN(TRIM(A614))=0,"",COUNTIFS(Students!E:E, A614, Students!D:D, "&gt;=0"))</f>
        <v/>
      </c>
      <c r="F614" s="31" t="str">
        <f t="shared" si="18"/>
        <v/>
      </c>
      <c r="G614" s="6" t="str">
        <f t="shared" si="19"/>
        <v/>
      </c>
    </row>
    <row r="615" spans="4:7" x14ac:dyDescent="0.2">
      <c r="D615" s="31" t="str">
        <f>IF(LEN(TRIM(A615))=0,"",COUNTIFS(Students!E:E, A615))</f>
        <v/>
      </c>
      <c r="E615" s="31" t="str">
        <f>IF(LEN(TRIM(A615))=0,"",COUNTIFS(Students!E:E, A615, Students!D:D, "&gt;=0"))</f>
        <v/>
      </c>
      <c r="F615" s="31" t="str">
        <f t="shared" si="18"/>
        <v/>
      </c>
      <c r="G615" s="6" t="str">
        <f t="shared" si="19"/>
        <v/>
      </c>
    </row>
    <row r="616" spans="4:7" x14ac:dyDescent="0.2">
      <c r="D616" s="31" t="str">
        <f>IF(LEN(TRIM(A616))=0,"",COUNTIFS(Students!E:E, A616))</f>
        <v/>
      </c>
      <c r="E616" s="31" t="str">
        <f>IF(LEN(TRIM(A616))=0,"",COUNTIFS(Students!E:E, A616, Students!D:D, "&gt;=0"))</f>
        <v/>
      </c>
      <c r="F616" s="31" t="str">
        <f t="shared" si="18"/>
        <v/>
      </c>
      <c r="G616" s="6" t="str">
        <f t="shared" si="19"/>
        <v/>
      </c>
    </row>
    <row r="617" spans="4:7" x14ac:dyDescent="0.2">
      <c r="D617" s="31" t="str">
        <f>IF(LEN(TRIM(A617))=0,"",COUNTIFS(Students!E:E, A617))</f>
        <v/>
      </c>
      <c r="E617" s="31" t="str">
        <f>IF(LEN(TRIM(A617))=0,"",COUNTIFS(Students!E:E, A617, Students!D:D, "&gt;=0"))</f>
        <v/>
      </c>
      <c r="F617" s="31" t="str">
        <f t="shared" si="18"/>
        <v/>
      </c>
      <c r="G617" s="6" t="str">
        <f t="shared" si="19"/>
        <v/>
      </c>
    </row>
    <row r="618" spans="4:7" x14ac:dyDescent="0.2">
      <c r="D618" s="31" t="str">
        <f>IF(LEN(TRIM(A618))=0,"",COUNTIFS(Students!E:E, A618))</f>
        <v/>
      </c>
      <c r="E618" s="31" t="str">
        <f>IF(LEN(TRIM(A618))=0,"",COUNTIFS(Students!E:E, A618, Students!D:D, "&gt;=0"))</f>
        <v/>
      </c>
      <c r="F618" s="31" t="str">
        <f t="shared" si="18"/>
        <v/>
      </c>
      <c r="G618" s="6" t="str">
        <f t="shared" si="19"/>
        <v/>
      </c>
    </row>
    <row r="619" spans="4:7" x14ac:dyDescent="0.2">
      <c r="D619" s="31" t="str">
        <f>IF(LEN(TRIM(A619))=0,"",COUNTIFS(Students!E:E, A619))</f>
        <v/>
      </c>
      <c r="E619" s="31" t="str">
        <f>IF(LEN(TRIM(A619))=0,"",COUNTIFS(Students!E:E, A619, Students!D:D, "&gt;=0"))</f>
        <v/>
      </c>
      <c r="F619" s="31" t="str">
        <f t="shared" si="18"/>
        <v/>
      </c>
      <c r="G619" s="6" t="str">
        <f t="shared" si="19"/>
        <v/>
      </c>
    </row>
    <row r="620" spans="4:7" x14ac:dyDescent="0.2">
      <c r="D620" s="31" t="str">
        <f>IF(LEN(TRIM(A620))=0,"",COUNTIFS(Students!E:E, A620))</f>
        <v/>
      </c>
      <c r="E620" s="31" t="str">
        <f>IF(LEN(TRIM(A620))=0,"",COUNTIFS(Students!E:E, A620, Students!D:D, "&gt;=0"))</f>
        <v/>
      </c>
      <c r="F620" s="31" t="str">
        <f t="shared" si="18"/>
        <v/>
      </c>
      <c r="G620" s="6" t="str">
        <f t="shared" si="19"/>
        <v/>
      </c>
    </row>
    <row r="621" spans="4:7" x14ac:dyDescent="0.2">
      <c r="D621" s="31" t="str">
        <f>IF(LEN(TRIM(A621))=0,"",COUNTIFS(Students!E:E, A621))</f>
        <v/>
      </c>
      <c r="E621" s="31" t="str">
        <f>IF(LEN(TRIM(A621))=0,"",COUNTIFS(Students!E:E, A621, Students!D:D, "&gt;=0"))</f>
        <v/>
      </c>
      <c r="F621" s="31" t="str">
        <f t="shared" si="18"/>
        <v/>
      </c>
      <c r="G621" s="6" t="str">
        <f t="shared" si="19"/>
        <v/>
      </c>
    </row>
    <row r="622" spans="4:7" x14ac:dyDescent="0.2">
      <c r="D622" s="31" t="str">
        <f>IF(LEN(TRIM(A622))=0,"",COUNTIFS(Students!E:E, A622))</f>
        <v/>
      </c>
      <c r="E622" s="31" t="str">
        <f>IF(LEN(TRIM(A622))=0,"",COUNTIFS(Students!E:E, A622, Students!D:D, "&gt;=0"))</f>
        <v/>
      </c>
      <c r="F622" s="31" t="str">
        <f t="shared" si="18"/>
        <v/>
      </c>
      <c r="G622" s="6" t="str">
        <f t="shared" si="19"/>
        <v/>
      </c>
    </row>
    <row r="623" spans="4:7" x14ac:dyDescent="0.2">
      <c r="D623" s="31" t="str">
        <f>IF(LEN(TRIM(A623))=0,"",COUNTIFS(Students!E:E, A623))</f>
        <v/>
      </c>
      <c r="E623" s="31" t="str">
        <f>IF(LEN(TRIM(A623))=0,"",COUNTIFS(Students!E:E, A623, Students!D:D, "&gt;=0"))</f>
        <v/>
      </c>
      <c r="F623" s="31" t="str">
        <f t="shared" si="18"/>
        <v/>
      </c>
      <c r="G623" s="6" t="str">
        <f t="shared" si="19"/>
        <v/>
      </c>
    </row>
    <row r="624" spans="4:7" x14ac:dyDescent="0.2">
      <c r="D624" s="31" t="str">
        <f>IF(LEN(TRIM(A624))=0,"",COUNTIFS(Students!E:E, A624))</f>
        <v/>
      </c>
      <c r="E624" s="31" t="str">
        <f>IF(LEN(TRIM(A624))=0,"",COUNTIFS(Students!E:E, A624, Students!D:D, "&gt;=0"))</f>
        <v/>
      </c>
      <c r="F624" s="31" t="str">
        <f t="shared" si="18"/>
        <v/>
      </c>
      <c r="G624" s="6" t="str">
        <f t="shared" si="19"/>
        <v/>
      </c>
    </row>
    <row r="625" spans="4:7" x14ac:dyDescent="0.2">
      <c r="D625" s="31" t="str">
        <f>IF(LEN(TRIM(A625))=0,"",COUNTIFS(Students!E:E, A625))</f>
        <v/>
      </c>
      <c r="E625" s="31" t="str">
        <f>IF(LEN(TRIM(A625))=0,"",COUNTIFS(Students!E:E, A625, Students!D:D, "&gt;=0"))</f>
        <v/>
      </c>
      <c r="F625" s="31" t="str">
        <f t="shared" si="18"/>
        <v/>
      </c>
      <c r="G625" s="6" t="str">
        <f t="shared" si="19"/>
        <v/>
      </c>
    </row>
    <row r="626" spans="4:7" x14ac:dyDescent="0.2">
      <c r="D626" s="31" t="str">
        <f>IF(LEN(TRIM(A626))=0,"",COUNTIFS(Students!E:E, A626))</f>
        <v/>
      </c>
      <c r="E626" s="31" t="str">
        <f>IF(LEN(TRIM(A626))=0,"",COUNTIFS(Students!E:E, A626, Students!D:D, "&gt;=0"))</f>
        <v/>
      </c>
      <c r="F626" s="31" t="str">
        <f t="shared" si="18"/>
        <v/>
      </c>
      <c r="G626" s="6" t="str">
        <f t="shared" si="19"/>
        <v/>
      </c>
    </row>
    <row r="627" spans="4:7" x14ac:dyDescent="0.2">
      <c r="D627" s="31" t="str">
        <f>IF(LEN(TRIM(A627))=0,"",COUNTIFS(Students!E:E, A627))</f>
        <v/>
      </c>
      <c r="E627" s="31" t="str">
        <f>IF(LEN(TRIM(A627))=0,"",COUNTIFS(Students!E:E, A627, Students!D:D, "&gt;=0"))</f>
        <v/>
      </c>
      <c r="F627" s="31" t="str">
        <f t="shared" si="18"/>
        <v/>
      </c>
      <c r="G627" s="6" t="str">
        <f t="shared" si="19"/>
        <v/>
      </c>
    </row>
    <row r="628" spans="4:7" x14ac:dyDescent="0.2">
      <c r="D628" s="31" t="str">
        <f>IF(LEN(TRIM(A628))=0,"",COUNTIFS(Students!E:E, A628))</f>
        <v/>
      </c>
      <c r="E628" s="31" t="str">
        <f>IF(LEN(TRIM(A628))=0,"",COUNTIFS(Students!E:E, A628, Students!D:D, "&gt;=0"))</f>
        <v/>
      </c>
      <c r="F628" s="31" t="str">
        <f t="shared" si="18"/>
        <v/>
      </c>
      <c r="G628" s="6" t="str">
        <f t="shared" si="19"/>
        <v/>
      </c>
    </row>
    <row r="629" spans="4:7" x14ac:dyDescent="0.2">
      <c r="D629" s="31" t="str">
        <f>IF(LEN(TRIM(A629))=0,"",COUNTIFS(Students!E:E, A629))</f>
        <v/>
      </c>
      <c r="E629" s="31" t="str">
        <f>IF(LEN(TRIM(A629))=0,"",COUNTIFS(Students!E:E, A629, Students!D:D, "&gt;=0"))</f>
        <v/>
      </c>
      <c r="F629" s="31" t="str">
        <f t="shared" si="18"/>
        <v/>
      </c>
      <c r="G629" s="6" t="str">
        <f t="shared" si="19"/>
        <v/>
      </c>
    </row>
    <row r="630" spans="4:7" x14ac:dyDescent="0.2">
      <c r="D630" s="31" t="str">
        <f>IF(LEN(TRIM(A630))=0,"",COUNTIFS(Students!E:E, A630))</f>
        <v/>
      </c>
      <c r="E630" s="31" t="str">
        <f>IF(LEN(TRIM(A630))=0,"",COUNTIFS(Students!E:E, A630, Students!D:D, "&gt;=0"))</f>
        <v/>
      </c>
      <c r="F630" s="31" t="str">
        <f t="shared" si="18"/>
        <v/>
      </c>
      <c r="G630" s="6" t="str">
        <f t="shared" si="19"/>
        <v/>
      </c>
    </row>
    <row r="631" spans="4:7" x14ac:dyDescent="0.2">
      <c r="D631" s="31" t="str">
        <f>IF(LEN(TRIM(A631))=0,"",COUNTIFS(Students!E:E, A631))</f>
        <v/>
      </c>
      <c r="E631" s="31" t="str">
        <f>IF(LEN(TRIM(A631))=0,"",COUNTIFS(Students!E:E, A631, Students!D:D, "&gt;=0"))</f>
        <v/>
      </c>
      <c r="F631" s="31" t="str">
        <f t="shared" si="18"/>
        <v/>
      </c>
      <c r="G631" s="6" t="str">
        <f t="shared" si="19"/>
        <v/>
      </c>
    </row>
    <row r="632" spans="4:7" x14ac:dyDescent="0.2">
      <c r="D632" s="31" t="str">
        <f>IF(LEN(TRIM(A632))=0,"",COUNTIFS(Students!E:E, A632))</f>
        <v/>
      </c>
      <c r="E632" s="31" t="str">
        <f>IF(LEN(TRIM(A632))=0,"",COUNTIFS(Students!E:E, A632, Students!D:D, "&gt;=0"))</f>
        <v/>
      </c>
      <c r="F632" s="31" t="str">
        <f t="shared" si="18"/>
        <v/>
      </c>
      <c r="G632" s="6" t="str">
        <f t="shared" si="19"/>
        <v/>
      </c>
    </row>
    <row r="633" spans="4:7" x14ac:dyDescent="0.2">
      <c r="D633" s="31" t="str">
        <f>IF(LEN(TRIM(A633))=0,"",COUNTIFS(Students!E:E, A633))</f>
        <v/>
      </c>
      <c r="E633" s="31" t="str">
        <f>IF(LEN(TRIM(A633))=0,"",COUNTIFS(Students!E:E, A633, Students!D:D, "&gt;=0"))</f>
        <v/>
      </c>
      <c r="F633" s="31" t="str">
        <f t="shared" si="18"/>
        <v/>
      </c>
      <c r="G633" s="6" t="str">
        <f t="shared" si="19"/>
        <v/>
      </c>
    </row>
    <row r="634" spans="4:7" x14ac:dyDescent="0.2">
      <c r="D634" s="31" t="str">
        <f>IF(LEN(TRIM(A634))=0,"",COUNTIFS(Students!E:E, A634))</f>
        <v/>
      </c>
      <c r="E634" s="31" t="str">
        <f>IF(LEN(TRIM(A634))=0,"",COUNTIFS(Students!E:E, A634, Students!D:D, "&gt;=0"))</f>
        <v/>
      </c>
      <c r="F634" s="31" t="str">
        <f t="shared" si="18"/>
        <v/>
      </c>
      <c r="G634" s="6" t="str">
        <f t="shared" si="19"/>
        <v/>
      </c>
    </row>
    <row r="635" spans="4:7" x14ac:dyDescent="0.2">
      <c r="D635" s="31" t="str">
        <f>IF(LEN(TRIM(A635))=0,"",COUNTIFS(Students!E:E, A635))</f>
        <v/>
      </c>
      <c r="E635" s="31" t="str">
        <f>IF(LEN(TRIM(A635))=0,"",COUNTIFS(Students!E:E, A635, Students!D:D, "&gt;=0"))</f>
        <v/>
      </c>
      <c r="F635" s="31" t="str">
        <f t="shared" si="18"/>
        <v/>
      </c>
      <c r="G635" s="6" t="str">
        <f t="shared" si="19"/>
        <v/>
      </c>
    </row>
    <row r="636" spans="4:7" x14ac:dyDescent="0.2">
      <c r="D636" s="31" t="str">
        <f>IF(LEN(TRIM(A636))=0,"",COUNTIFS(Students!E:E, A636))</f>
        <v/>
      </c>
      <c r="E636" s="31" t="str">
        <f>IF(LEN(TRIM(A636))=0,"",COUNTIFS(Students!E:E, A636, Students!D:D, "&gt;=0"))</f>
        <v/>
      </c>
      <c r="F636" s="31" t="str">
        <f t="shared" si="18"/>
        <v/>
      </c>
      <c r="G636" s="6" t="str">
        <f t="shared" si="19"/>
        <v/>
      </c>
    </row>
    <row r="637" spans="4:7" x14ac:dyDescent="0.2">
      <c r="D637" s="31" t="str">
        <f>IF(LEN(TRIM(A637))=0,"",COUNTIFS(Students!E:E, A637))</f>
        <v/>
      </c>
      <c r="E637" s="31" t="str">
        <f>IF(LEN(TRIM(A637))=0,"",COUNTIFS(Students!E:E, A637, Students!D:D, "&gt;=0"))</f>
        <v/>
      </c>
      <c r="F637" s="31" t="str">
        <f t="shared" si="18"/>
        <v/>
      </c>
      <c r="G637" s="6" t="str">
        <f t="shared" si="19"/>
        <v/>
      </c>
    </row>
    <row r="638" spans="4:7" x14ac:dyDescent="0.2">
      <c r="D638" s="31" t="str">
        <f>IF(LEN(TRIM(A638))=0,"",COUNTIFS(Students!E:E, A638))</f>
        <v/>
      </c>
      <c r="E638" s="31" t="str">
        <f>IF(LEN(TRIM(A638))=0,"",COUNTIFS(Students!E:E, A638, Students!D:D, "&gt;=0"))</f>
        <v/>
      </c>
      <c r="F638" s="31" t="str">
        <f t="shared" si="18"/>
        <v/>
      </c>
      <c r="G638" s="6" t="str">
        <f t="shared" si="19"/>
        <v/>
      </c>
    </row>
    <row r="639" spans="4:7" x14ac:dyDescent="0.2">
      <c r="D639" s="31" t="str">
        <f>IF(LEN(TRIM(A639))=0,"",COUNTIFS(Students!E:E, A639))</f>
        <v/>
      </c>
      <c r="E639" s="31" t="str">
        <f>IF(LEN(TRIM(A639))=0,"",COUNTIFS(Students!E:E, A639, Students!D:D, "&gt;=0"))</f>
        <v/>
      </c>
      <c r="F639" s="31" t="str">
        <f t="shared" si="18"/>
        <v/>
      </c>
      <c r="G639" s="6" t="str">
        <f t="shared" si="19"/>
        <v/>
      </c>
    </row>
    <row r="640" spans="4:7" x14ac:dyDescent="0.2">
      <c r="D640" s="31" t="str">
        <f>IF(LEN(TRIM(A640))=0,"",COUNTIFS(Students!E:E, A640))</f>
        <v/>
      </c>
      <c r="E640" s="31" t="str">
        <f>IF(LEN(TRIM(A640))=0,"",COUNTIFS(Students!E:E, A640, Students!D:D, "&gt;=0"))</f>
        <v/>
      </c>
      <c r="F640" s="31" t="str">
        <f t="shared" si="18"/>
        <v/>
      </c>
      <c r="G640" s="6" t="str">
        <f t="shared" si="19"/>
        <v/>
      </c>
    </row>
    <row r="641" spans="4:7" x14ac:dyDescent="0.2">
      <c r="D641" s="31" t="str">
        <f>IF(LEN(TRIM(A641))=0,"",COUNTIFS(Students!E:E, A641))</f>
        <v/>
      </c>
      <c r="E641" s="31" t="str">
        <f>IF(LEN(TRIM(A641))=0,"",COUNTIFS(Students!E:E, A641, Students!D:D, "&gt;=0"))</f>
        <v/>
      </c>
      <c r="F641" s="31" t="str">
        <f t="shared" si="18"/>
        <v/>
      </c>
      <c r="G641" s="6" t="str">
        <f t="shared" si="19"/>
        <v/>
      </c>
    </row>
    <row r="642" spans="4:7" x14ac:dyDescent="0.2">
      <c r="D642" s="31" t="str">
        <f>IF(LEN(TRIM(A642))=0,"",COUNTIFS(Students!E:E, A642))</f>
        <v/>
      </c>
      <c r="E642" s="31" t="str">
        <f>IF(LEN(TRIM(A642))=0,"",COUNTIFS(Students!E:E, A642, Students!D:D, "&gt;=0"))</f>
        <v/>
      </c>
      <c r="F642" s="31" t="str">
        <f t="shared" si="18"/>
        <v/>
      </c>
      <c r="G642" s="6" t="str">
        <f t="shared" si="19"/>
        <v/>
      </c>
    </row>
    <row r="643" spans="4:7" x14ac:dyDescent="0.2">
      <c r="D643" s="31" t="str">
        <f>IF(LEN(TRIM(A643))=0,"",COUNTIFS(Students!E:E, A643))</f>
        <v/>
      </c>
      <c r="E643" s="31" t="str">
        <f>IF(LEN(TRIM(A643))=0,"",COUNTIFS(Students!E:E, A643, Students!D:D, "&gt;=0"))</f>
        <v/>
      </c>
      <c r="F643" s="31" t="str">
        <f t="shared" ref="F643:F706" si="20">IFERROR(D643-E643,"")</f>
        <v/>
      </c>
      <c r="G643" s="6" t="str">
        <f t="shared" ref="G643:G706" si="21">IFERROR(IF(D643=0, "N/A", E643/D643),"")</f>
        <v/>
      </c>
    </row>
    <row r="644" spans="4:7" x14ac:dyDescent="0.2">
      <c r="D644" s="31" t="str">
        <f>IF(LEN(TRIM(A644))=0,"",COUNTIFS(Students!E:E, A644))</f>
        <v/>
      </c>
      <c r="E644" s="31" t="str">
        <f>IF(LEN(TRIM(A644))=0,"",COUNTIFS(Students!E:E, A644, Students!D:D, "&gt;=0"))</f>
        <v/>
      </c>
      <c r="F644" s="31" t="str">
        <f t="shared" si="20"/>
        <v/>
      </c>
      <c r="G644" s="6" t="str">
        <f t="shared" si="21"/>
        <v/>
      </c>
    </row>
    <row r="645" spans="4:7" x14ac:dyDescent="0.2">
      <c r="D645" s="31" t="str">
        <f>IF(LEN(TRIM(A645))=0,"",COUNTIFS(Students!E:E, A645))</f>
        <v/>
      </c>
      <c r="E645" s="31" t="str">
        <f>IF(LEN(TRIM(A645))=0,"",COUNTIFS(Students!E:E, A645, Students!D:D, "&gt;=0"))</f>
        <v/>
      </c>
      <c r="F645" s="31" t="str">
        <f t="shared" si="20"/>
        <v/>
      </c>
      <c r="G645" s="6" t="str">
        <f t="shared" si="21"/>
        <v/>
      </c>
    </row>
    <row r="646" spans="4:7" x14ac:dyDescent="0.2">
      <c r="D646" s="31" t="str">
        <f>IF(LEN(TRIM(A646))=0,"",COUNTIFS(Students!E:E, A646))</f>
        <v/>
      </c>
      <c r="E646" s="31" t="str">
        <f>IF(LEN(TRIM(A646))=0,"",COUNTIFS(Students!E:E, A646, Students!D:D, "&gt;=0"))</f>
        <v/>
      </c>
      <c r="F646" s="31" t="str">
        <f t="shared" si="20"/>
        <v/>
      </c>
      <c r="G646" s="6" t="str">
        <f t="shared" si="21"/>
        <v/>
      </c>
    </row>
    <row r="647" spans="4:7" x14ac:dyDescent="0.2">
      <c r="D647" s="31" t="str">
        <f>IF(LEN(TRIM(A647))=0,"",COUNTIFS(Students!E:E, A647))</f>
        <v/>
      </c>
      <c r="E647" s="31" t="str">
        <f>IF(LEN(TRIM(A647))=0,"",COUNTIFS(Students!E:E, A647, Students!D:D, "&gt;=0"))</f>
        <v/>
      </c>
      <c r="F647" s="31" t="str">
        <f t="shared" si="20"/>
        <v/>
      </c>
      <c r="G647" s="6" t="str">
        <f t="shared" si="21"/>
        <v/>
      </c>
    </row>
    <row r="648" spans="4:7" x14ac:dyDescent="0.2">
      <c r="D648" s="31" t="str">
        <f>IF(LEN(TRIM(A648))=0,"",COUNTIFS(Students!E:E, A648))</f>
        <v/>
      </c>
      <c r="E648" s="31" t="str">
        <f>IF(LEN(TRIM(A648))=0,"",COUNTIFS(Students!E:E, A648, Students!D:D, "&gt;=0"))</f>
        <v/>
      </c>
      <c r="F648" s="31" t="str">
        <f t="shared" si="20"/>
        <v/>
      </c>
      <c r="G648" s="6" t="str">
        <f t="shared" si="21"/>
        <v/>
      </c>
    </row>
    <row r="649" spans="4:7" x14ac:dyDescent="0.2">
      <c r="D649" s="31" t="str">
        <f>IF(LEN(TRIM(A649))=0,"",COUNTIFS(Students!E:E, A649))</f>
        <v/>
      </c>
      <c r="E649" s="31" t="str">
        <f>IF(LEN(TRIM(A649))=0,"",COUNTIFS(Students!E:E, A649, Students!D:D, "&gt;=0"))</f>
        <v/>
      </c>
      <c r="F649" s="31" t="str">
        <f t="shared" si="20"/>
        <v/>
      </c>
      <c r="G649" s="6" t="str">
        <f t="shared" si="21"/>
        <v/>
      </c>
    </row>
    <row r="650" spans="4:7" x14ac:dyDescent="0.2">
      <c r="D650" s="31" t="str">
        <f>IF(LEN(TRIM(A650))=0,"",COUNTIFS(Students!E:E, A650))</f>
        <v/>
      </c>
      <c r="E650" s="31" t="str">
        <f>IF(LEN(TRIM(A650))=0,"",COUNTIFS(Students!E:E, A650, Students!D:D, "&gt;=0"))</f>
        <v/>
      </c>
      <c r="F650" s="31" t="str">
        <f t="shared" si="20"/>
        <v/>
      </c>
      <c r="G650" s="6" t="str">
        <f t="shared" si="21"/>
        <v/>
      </c>
    </row>
    <row r="651" spans="4:7" x14ac:dyDescent="0.2">
      <c r="D651" s="31" t="str">
        <f>IF(LEN(TRIM(A651))=0,"",COUNTIFS(Students!E:E, A651))</f>
        <v/>
      </c>
      <c r="E651" s="31" t="str">
        <f>IF(LEN(TRIM(A651))=0,"",COUNTIFS(Students!E:E, A651, Students!D:D, "&gt;=0"))</f>
        <v/>
      </c>
      <c r="F651" s="31" t="str">
        <f t="shared" si="20"/>
        <v/>
      </c>
      <c r="G651" s="6" t="str">
        <f t="shared" si="21"/>
        <v/>
      </c>
    </row>
    <row r="652" spans="4:7" x14ac:dyDescent="0.2">
      <c r="D652" s="31" t="str">
        <f>IF(LEN(TRIM(A652))=0,"",COUNTIFS(Students!E:E, A652))</f>
        <v/>
      </c>
      <c r="E652" s="31" t="str">
        <f>IF(LEN(TRIM(A652))=0,"",COUNTIFS(Students!E:E, A652, Students!D:D, "&gt;=0"))</f>
        <v/>
      </c>
      <c r="F652" s="31" t="str">
        <f t="shared" si="20"/>
        <v/>
      </c>
      <c r="G652" s="6" t="str">
        <f t="shared" si="21"/>
        <v/>
      </c>
    </row>
    <row r="653" spans="4:7" x14ac:dyDescent="0.2">
      <c r="D653" s="31" t="str">
        <f>IF(LEN(TRIM(A653))=0,"",COUNTIFS(Students!E:E, A653))</f>
        <v/>
      </c>
      <c r="E653" s="31" t="str">
        <f>IF(LEN(TRIM(A653))=0,"",COUNTIFS(Students!E:E, A653, Students!D:D, "&gt;=0"))</f>
        <v/>
      </c>
      <c r="F653" s="31" t="str">
        <f t="shared" si="20"/>
        <v/>
      </c>
      <c r="G653" s="6" t="str">
        <f t="shared" si="21"/>
        <v/>
      </c>
    </row>
    <row r="654" spans="4:7" x14ac:dyDescent="0.2">
      <c r="D654" s="31" t="str">
        <f>IF(LEN(TRIM(A654))=0,"",COUNTIFS(Students!E:E, A654))</f>
        <v/>
      </c>
      <c r="E654" s="31" t="str">
        <f>IF(LEN(TRIM(A654))=0,"",COUNTIFS(Students!E:E, A654, Students!D:D, "&gt;=0"))</f>
        <v/>
      </c>
      <c r="F654" s="31" t="str">
        <f t="shared" si="20"/>
        <v/>
      </c>
      <c r="G654" s="6" t="str">
        <f t="shared" si="21"/>
        <v/>
      </c>
    </row>
    <row r="655" spans="4:7" x14ac:dyDescent="0.2">
      <c r="D655" s="31" t="str">
        <f>IF(LEN(TRIM(A655))=0,"",COUNTIFS(Students!E:E, A655))</f>
        <v/>
      </c>
      <c r="E655" s="31" t="str">
        <f>IF(LEN(TRIM(A655))=0,"",COUNTIFS(Students!E:E, A655, Students!D:D, "&gt;=0"))</f>
        <v/>
      </c>
      <c r="F655" s="31" t="str">
        <f t="shared" si="20"/>
        <v/>
      </c>
      <c r="G655" s="6" t="str">
        <f t="shared" si="21"/>
        <v/>
      </c>
    </row>
    <row r="656" spans="4:7" x14ac:dyDescent="0.2">
      <c r="D656" s="31" t="str">
        <f>IF(LEN(TRIM(A656))=0,"",COUNTIFS(Students!E:E, A656))</f>
        <v/>
      </c>
      <c r="E656" s="31" t="str">
        <f>IF(LEN(TRIM(A656))=0,"",COUNTIFS(Students!E:E, A656, Students!D:D, "&gt;=0"))</f>
        <v/>
      </c>
      <c r="F656" s="31" t="str">
        <f t="shared" si="20"/>
        <v/>
      </c>
      <c r="G656" s="6" t="str">
        <f t="shared" si="21"/>
        <v/>
      </c>
    </row>
    <row r="657" spans="4:7" x14ac:dyDescent="0.2">
      <c r="D657" s="31" t="str">
        <f>IF(LEN(TRIM(A657))=0,"",COUNTIFS(Students!E:E, A657))</f>
        <v/>
      </c>
      <c r="E657" s="31" t="str">
        <f>IF(LEN(TRIM(A657))=0,"",COUNTIFS(Students!E:E, A657, Students!D:D, "&gt;=0"))</f>
        <v/>
      </c>
      <c r="F657" s="31" t="str">
        <f t="shared" si="20"/>
        <v/>
      </c>
      <c r="G657" s="6" t="str">
        <f t="shared" si="21"/>
        <v/>
      </c>
    </row>
    <row r="658" spans="4:7" x14ac:dyDescent="0.2">
      <c r="D658" s="31" t="str">
        <f>IF(LEN(TRIM(A658))=0,"",COUNTIFS(Students!E:E, A658))</f>
        <v/>
      </c>
      <c r="E658" s="31" t="str">
        <f>IF(LEN(TRIM(A658))=0,"",COUNTIFS(Students!E:E, A658, Students!D:D, "&gt;=0"))</f>
        <v/>
      </c>
      <c r="F658" s="31" t="str">
        <f t="shared" si="20"/>
        <v/>
      </c>
      <c r="G658" s="6" t="str">
        <f t="shared" si="21"/>
        <v/>
      </c>
    </row>
    <row r="659" spans="4:7" x14ac:dyDescent="0.2">
      <c r="D659" s="31" t="str">
        <f>IF(LEN(TRIM(A659))=0,"",COUNTIFS(Students!E:E, A659))</f>
        <v/>
      </c>
      <c r="E659" s="31" t="str">
        <f>IF(LEN(TRIM(A659))=0,"",COUNTIFS(Students!E:E, A659, Students!D:D, "&gt;=0"))</f>
        <v/>
      </c>
      <c r="F659" s="31" t="str">
        <f t="shared" si="20"/>
        <v/>
      </c>
      <c r="G659" s="6" t="str">
        <f t="shared" si="21"/>
        <v/>
      </c>
    </row>
    <row r="660" spans="4:7" x14ac:dyDescent="0.2">
      <c r="D660" s="31" t="str">
        <f>IF(LEN(TRIM(A660))=0,"",COUNTIFS(Students!E:E, A660))</f>
        <v/>
      </c>
      <c r="E660" s="31" t="str">
        <f>IF(LEN(TRIM(A660))=0,"",COUNTIFS(Students!E:E, A660, Students!D:D, "&gt;=0"))</f>
        <v/>
      </c>
      <c r="F660" s="31" t="str">
        <f t="shared" si="20"/>
        <v/>
      </c>
      <c r="G660" s="6" t="str">
        <f t="shared" si="21"/>
        <v/>
      </c>
    </row>
    <row r="661" spans="4:7" x14ac:dyDescent="0.2">
      <c r="D661" s="31" t="str">
        <f>IF(LEN(TRIM(A661))=0,"",COUNTIFS(Students!E:E, A661))</f>
        <v/>
      </c>
      <c r="E661" s="31" t="str">
        <f>IF(LEN(TRIM(A661))=0,"",COUNTIFS(Students!E:E, A661, Students!D:D, "&gt;=0"))</f>
        <v/>
      </c>
      <c r="F661" s="31" t="str">
        <f t="shared" si="20"/>
        <v/>
      </c>
      <c r="G661" s="6" t="str">
        <f t="shared" si="21"/>
        <v/>
      </c>
    </row>
    <row r="662" spans="4:7" x14ac:dyDescent="0.2">
      <c r="D662" s="31" t="str">
        <f>IF(LEN(TRIM(A662))=0,"",COUNTIFS(Students!E:E, A662))</f>
        <v/>
      </c>
      <c r="E662" s="31" t="str">
        <f>IF(LEN(TRIM(A662))=0,"",COUNTIFS(Students!E:E, A662, Students!D:D, "&gt;=0"))</f>
        <v/>
      </c>
      <c r="F662" s="31" t="str">
        <f t="shared" si="20"/>
        <v/>
      </c>
      <c r="G662" s="6" t="str">
        <f t="shared" si="21"/>
        <v/>
      </c>
    </row>
    <row r="663" spans="4:7" x14ac:dyDescent="0.2">
      <c r="D663" s="31" t="str">
        <f>IF(LEN(TRIM(A663))=0,"",COUNTIFS(Students!E:E, A663))</f>
        <v/>
      </c>
      <c r="E663" s="31" t="str">
        <f>IF(LEN(TRIM(A663))=0,"",COUNTIFS(Students!E:E, A663, Students!D:D, "&gt;=0"))</f>
        <v/>
      </c>
      <c r="F663" s="31" t="str">
        <f t="shared" si="20"/>
        <v/>
      </c>
      <c r="G663" s="6" t="str">
        <f t="shared" si="21"/>
        <v/>
      </c>
    </row>
    <row r="664" spans="4:7" x14ac:dyDescent="0.2">
      <c r="D664" s="31" t="str">
        <f>IF(LEN(TRIM(A664))=0,"",COUNTIFS(Students!E:E, A664))</f>
        <v/>
      </c>
      <c r="E664" s="31" t="str">
        <f>IF(LEN(TRIM(A664))=0,"",COUNTIFS(Students!E:E, A664, Students!D:D, "&gt;=0"))</f>
        <v/>
      </c>
      <c r="F664" s="31" t="str">
        <f t="shared" si="20"/>
        <v/>
      </c>
      <c r="G664" s="6" t="str">
        <f t="shared" si="21"/>
        <v/>
      </c>
    </row>
    <row r="665" spans="4:7" x14ac:dyDescent="0.2">
      <c r="D665" s="31" t="str">
        <f>IF(LEN(TRIM(A665))=0,"",COUNTIFS(Students!E:E, A665))</f>
        <v/>
      </c>
      <c r="E665" s="31" t="str">
        <f>IF(LEN(TRIM(A665))=0,"",COUNTIFS(Students!E:E, A665, Students!D:D, "&gt;=0"))</f>
        <v/>
      </c>
      <c r="F665" s="31" t="str">
        <f t="shared" si="20"/>
        <v/>
      </c>
      <c r="G665" s="6" t="str">
        <f t="shared" si="21"/>
        <v/>
      </c>
    </row>
    <row r="666" spans="4:7" x14ac:dyDescent="0.2">
      <c r="D666" s="31" t="str">
        <f>IF(LEN(TRIM(A666))=0,"",COUNTIFS(Students!E:E, A666))</f>
        <v/>
      </c>
      <c r="E666" s="31" t="str">
        <f>IF(LEN(TRIM(A666))=0,"",COUNTIFS(Students!E:E, A666, Students!D:D, "&gt;=0"))</f>
        <v/>
      </c>
      <c r="F666" s="31" t="str">
        <f t="shared" si="20"/>
        <v/>
      </c>
      <c r="G666" s="6" t="str">
        <f t="shared" si="21"/>
        <v/>
      </c>
    </row>
    <row r="667" spans="4:7" x14ac:dyDescent="0.2">
      <c r="D667" s="31" t="str">
        <f>IF(LEN(TRIM(A667))=0,"",COUNTIFS(Students!E:E, A667))</f>
        <v/>
      </c>
      <c r="E667" s="31" t="str">
        <f>IF(LEN(TRIM(A667))=0,"",COUNTIFS(Students!E:E, A667, Students!D:D, "&gt;=0"))</f>
        <v/>
      </c>
      <c r="F667" s="31" t="str">
        <f t="shared" si="20"/>
        <v/>
      </c>
      <c r="G667" s="6" t="str">
        <f t="shared" si="21"/>
        <v/>
      </c>
    </row>
    <row r="668" spans="4:7" x14ac:dyDescent="0.2">
      <c r="D668" s="31" t="str">
        <f>IF(LEN(TRIM(A668))=0,"",COUNTIFS(Students!E:E, A668))</f>
        <v/>
      </c>
      <c r="E668" s="31" t="str">
        <f>IF(LEN(TRIM(A668))=0,"",COUNTIFS(Students!E:E, A668, Students!D:D, "&gt;=0"))</f>
        <v/>
      </c>
      <c r="F668" s="31" t="str">
        <f t="shared" si="20"/>
        <v/>
      </c>
      <c r="G668" s="6" t="str">
        <f t="shared" si="21"/>
        <v/>
      </c>
    </row>
    <row r="669" spans="4:7" x14ac:dyDescent="0.2">
      <c r="D669" s="31" t="str">
        <f>IF(LEN(TRIM(A669))=0,"",COUNTIFS(Students!E:E, A669))</f>
        <v/>
      </c>
      <c r="E669" s="31" t="str">
        <f>IF(LEN(TRIM(A669))=0,"",COUNTIFS(Students!E:E, A669, Students!D:D, "&gt;=0"))</f>
        <v/>
      </c>
      <c r="F669" s="31" t="str">
        <f t="shared" si="20"/>
        <v/>
      </c>
      <c r="G669" s="6" t="str">
        <f t="shared" si="21"/>
        <v/>
      </c>
    </row>
    <row r="670" spans="4:7" x14ac:dyDescent="0.2">
      <c r="D670" s="31" t="str">
        <f>IF(LEN(TRIM(A670))=0,"",COUNTIFS(Students!E:E, A670))</f>
        <v/>
      </c>
      <c r="E670" s="31" t="str">
        <f>IF(LEN(TRIM(A670))=0,"",COUNTIFS(Students!E:E, A670, Students!D:D, "&gt;=0"))</f>
        <v/>
      </c>
      <c r="F670" s="31" t="str">
        <f t="shared" si="20"/>
        <v/>
      </c>
      <c r="G670" s="6" t="str">
        <f t="shared" si="21"/>
        <v/>
      </c>
    </row>
    <row r="671" spans="4:7" x14ac:dyDescent="0.2">
      <c r="D671" s="31" t="str">
        <f>IF(LEN(TRIM(A671))=0,"",COUNTIFS(Students!E:E, A671))</f>
        <v/>
      </c>
      <c r="E671" s="31" t="str">
        <f>IF(LEN(TRIM(A671))=0,"",COUNTIFS(Students!E:E, A671, Students!D:D, "&gt;=0"))</f>
        <v/>
      </c>
      <c r="F671" s="31" t="str">
        <f t="shared" si="20"/>
        <v/>
      </c>
      <c r="G671" s="6" t="str">
        <f t="shared" si="21"/>
        <v/>
      </c>
    </row>
    <row r="672" spans="4:7" x14ac:dyDescent="0.2">
      <c r="D672" s="31" t="str">
        <f>IF(LEN(TRIM(A672))=0,"",COUNTIFS(Students!E:E, A672))</f>
        <v/>
      </c>
      <c r="E672" s="31" t="str">
        <f>IF(LEN(TRIM(A672))=0,"",COUNTIFS(Students!E:E, A672, Students!D:D, "&gt;=0"))</f>
        <v/>
      </c>
      <c r="F672" s="31" t="str">
        <f t="shared" si="20"/>
        <v/>
      </c>
      <c r="G672" s="6" t="str">
        <f t="shared" si="21"/>
        <v/>
      </c>
    </row>
    <row r="673" spans="4:7" x14ac:dyDescent="0.2">
      <c r="D673" s="31" t="str">
        <f>IF(LEN(TRIM(A673))=0,"",COUNTIFS(Students!E:E, A673))</f>
        <v/>
      </c>
      <c r="E673" s="31" t="str">
        <f>IF(LEN(TRIM(A673))=0,"",COUNTIFS(Students!E:E, A673, Students!D:D, "&gt;=0"))</f>
        <v/>
      </c>
      <c r="F673" s="31" t="str">
        <f t="shared" si="20"/>
        <v/>
      </c>
      <c r="G673" s="6" t="str">
        <f t="shared" si="21"/>
        <v/>
      </c>
    </row>
    <row r="674" spans="4:7" x14ac:dyDescent="0.2">
      <c r="D674" s="31" t="str">
        <f>IF(LEN(TRIM(A674))=0,"",COUNTIFS(Students!E:E, A674))</f>
        <v/>
      </c>
      <c r="E674" s="31" t="str">
        <f>IF(LEN(TRIM(A674))=0,"",COUNTIFS(Students!E:E, A674, Students!D:D, "&gt;=0"))</f>
        <v/>
      </c>
      <c r="F674" s="31" t="str">
        <f t="shared" si="20"/>
        <v/>
      </c>
      <c r="G674" s="6" t="str">
        <f t="shared" si="21"/>
        <v/>
      </c>
    </row>
    <row r="675" spans="4:7" x14ac:dyDescent="0.2">
      <c r="D675" s="31" t="str">
        <f>IF(LEN(TRIM(A675))=0,"",COUNTIFS(Students!E:E, A675))</f>
        <v/>
      </c>
      <c r="E675" s="31" t="str">
        <f>IF(LEN(TRIM(A675))=0,"",COUNTIFS(Students!E:E, A675, Students!D:D, "&gt;=0"))</f>
        <v/>
      </c>
      <c r="F675" s="31" t="str">
        <f t="shared" si="20"/>
        <v/>
      </c>
      <c r="G675" s="6" t="str">
        <f t="shared" si="21"/>
        <v/>
      </c>
    </row>
    <row r="676" spans="4:7" x14ac:dyDescent="0.2">
      <c r="D676" s="31" t="str">
        <f>IF(LEN(TRIM(A676))=0,"",COUNTIFS(Students!E:E, A676))</f>
        <v/>
      </c>
      <c r="E676" s="31" t="str">
        <f>IF(LEN(TRIM(A676))=0,"",COUNTIFS(Students!E:E, A676, Students!D:D, "&gt;=0"))</f>
        <v/>
      </c>
      <c r="F676" s="31" t="str">
        <f t="shared" si="20"/>
        <v/>
      </c>
      <c r="G676" s="6" t="str">
        <f t="shared" si="21"/>
        <v/>
      </c>
    </row>
    <row r="677" spans="4:7" x14ac:dyDescent="0.2">
      <c r="D677" s="31" t="str">
        <f>IF(LEN(TRIM(A677))=0,"",COUNTIFS(Students!E:E, A677))</f>
        <v/>
      </c>
      <c r="E677" s="31" t="str">
        <f>IF(LEN(TRIM(A677))=0,"",COUNTIFS(Students!E:E, A677, Students!D:D, "&gt;=0"))</f>
        <v/>
      </c>
      <c r="F677" s="31" t="str">
        <f t="shared" si="20"/>
        <v/>
      </c>
      <c r="G677" s="6" t="str">
        <f t="shared" si="21"/>
        <v/>
      </c>
    </row>
    <row r="678" spans="4:7" x14ac:dyDescent="0.2">
      <c r="D678" s="31" t="str">
        <f>IF(LEN(TRIM(A678))=0,"",COUNTIFS(Students!E:E, A678))</f>
        <v/>
      </c>
      <c r="E678" s="31" t="str">
        <f>IF(LEN(TRIM(A678))=0,"",COUNTIFS(Students!E:E, A678, Students!D:D, "&gt;=0"))</f>
        <v/>
      </c>
      <c r="F678" s="31" t="str">
        <f t="shared" si="20"/>
        <v/>
      </c>
      <c r="G678" s="6" t="str">
        <f t="shared" si="21"/>
        <v/>
      </c>
    </row>
    <row r="679" spans="4:7" x14ac:dyDescent="0.2">
      <c r="D679" s="31" t="str">
        <f>IF(LEN(TRIM(A679))=0,"",COUNTIFS(Students!E:E, A679))</f>
        <v/>
      </c>
      <c r="E679" s="31" t="str">
        <f>IF(LEN(TRIM(A679))=0,"",COUNTIFS(Students!E:E, A679, Students!D:D, "&gt;=0"))</f>
        <v/>
      </c>
      <c r="F679" s="31" t="str">
        <f t="shared" si="20"/>
        <v/>
      </c>
      <c r="G679" s="6" t="str">
        <f t="shared" si="21"/>
        <v/>
      </c>
    </row>
    <row r="680" spans="4:7" x14ac:dyDescent="0.2">
      <c r="D680" s="31" t="str">
        <f>IF(LEN(TRIM(A680))=0,"",COUNTIFS(Students!E:E, A680))</f>
        <v/>
      </c>
      <c r="E680" s="31" t="str">
        <f>IF(LEN(TRIM(A680))=0,"",COUNTIFS(Students!E:E, A680, Students!D:D, "&gt;=0"))</f>
        <v/>
      </c>
      <c r="F680" s="31" t="str">
        <f t="shared" si="20"/>
        <v/>
      </c>
      <c r="G680" s="6" t="str">
        <f t="shared" si="21"/>
        <v/>
      </c>
    </row>
    <row r="681" spans="4:7" x14ac:dyDescent="0.2">
      <c r="D681" s="31" t="str">
        <f>IF(LEN(TRIM(A681))=0,"",COUNTIFS(Students!E:E, A681))</f>
        <v/>
      </c>
      <c r="E681" s="31" t="str">
        <f>IF(LEN(TRIM(A681))=0,"",COUNTIFS(Students!E:E, A681, Students!D:D, "&gt;=0"))</f>
        <v/>
      </c>
      <c r="F681" s="31" t="str">
        <f t="shared" si="20"/>
        <v/>
      </c>
      <c r="G681" s="6" t="str">
        <f t="shared" si="21"/>
        <v/>
      </c>
    </row>
    <row r="682" spans="4:7" x14ac:dyDescent="0.2">
      <c r="D682" s="31" t="str">
        <f>IF(LEN(TRIM(A682))=0,"",COUNTIFS(Students!E:E, A682))</f>
        <v/>
      </c>
      <c r="E682" s="31" t="str">
        <f>IF(LEN(TRIM(A682))=0,"",COUNTIFS(Students!E:E, A682, Students!D:D, "&gt;=0"))</f>
        <v/>
      </c>
      <c r="F682" s="31" t="str">
        <f t="shared" si="20"/>
        <v/>
      </c>
      <c r="G682" s="6" t="str">
        <f t="shared" si="21"/>
        <v/>
      </c>
    </row>
    <row r="683" spans="4:7" x14ac:dyDescent="0.2">
      <c r="D683" s="31" t="str">
        <f>IF(LEN(TRIM(A683))=0,"",COUNTIFS(Students!E:E, A683))</f>
        <v/>
      </c>
      <c r="E683" s="31" t="str">
        <f>IF(LEN(TRIM(A683))=0,"",COUNTIFS(Students!E:E, A683, Students!D:D, "&gt;=0"))</f>
        <v/>
      </c>
      <c r="F683" s="31" t="str">
        <f t="shared" si="20"/>
        <v/>
      </c>
      <c r="G683" s="6" t="str">
        <f t="shared" si="21"/>
        <v/>
      </c>
    </row>
    <row r="684" spans="4:7" x14ac:dyDescent="0.2">
      <c r="D684" s="31" t="str">
        <f>IF(LEN(TRIM(A684))=0,"",COUNTIFS(Students!E:E, A684))</f>
        <v/>
      </c>
      <c r="E684" s="31" t="str">
        <f>IF(LEN(TRIM(A684))=0,"",COUNTIFS(Students!E:E, A684, Students!D:D, "&gt;=0"))</f>
        <v/>
      </c>
      <c r="F684" s="31" t="str">
        <f t="shared" si="20"/>
        <v/>
      </c>
      <c r="G684" s="6" t="str">
        <f t="shared" si="21"/>
        <v/>
      </c>
    </row>
    <row r="685" spans="4:7" x14ac:dyDescent="0.2">
      <c r="D685" s="31" t="str">
        <f>IF(LEN(TRIM(A685))=0,"",COUNTIFS(Students!E:E, A685))</f>
        <v/>
      </c>
      <c r="E685" s="31" t="str">
        <f>IF(LEN(TRIM(A685))=0,"",COUNTIFS(Students!E:E, A685, Students!D:D, "&gt;=0"))</f>
        <v/>
      </c>
      <c r="F685" s="31" t="str">
        <f t="shared" si="20"/>
        <v/>
      </c>
      <c r="G685" s="6" t="str">
        <f t="shared" si="21"/>
        <v/>
      </c>
    </row>
    <row r="686" spans="4:7" x14ac:dyDescent="0.2">
      <c r="D686" s="31" t="str">
        <f>IF(LEN(TRIM(A686))=0,"",COUNTIFS(Students!E:E, A686))</f>
        <v/>
      </c>
      <c r="E686" s="31" t="str">
        <f>IF(LEN(TRIM(A686))=0,"",COUNTIFS(Students!E:E, A686, Students!D:D, "&gt;=0"))</f>
        <v/>
      </c>
      <c r="F686" s="31" t="str">
        <f t="shared" si="20"/>
        <v/>
      </c>
      <c r="G686" s="6" t="str">
        <f t="shared" si="21"/>
        <v/>
      </c>
    </row>
    <row r="687" spans="4:7" x14ac:dyDescent="0.2">
      <c r="D687" s="31" t="str">
        <f>IF(LEN(TRIM(A687))=0,"",COUNTIFS(Students!E:E, A687))</f>
        <v/>
      </c>
      <c r="E687" s="31" t="str">
        <f>IF(LEN(TRIM(A687))=0,"",COUNTIFS(Students!E:E, A687, Students!D:D, "&gt;=0"))</f>
        <v/>
      </c>
      <c r="F687" s="31" t="str">
        <f t="shared" si="20"/>
        <v/>
      </c>
      <c r="G687" s="6" t="str">
        <f t="shared" si="21"/>
        <v/>
      </c>
    </row>
    <row r="688" spans="4:7" x14ac:dyDescent="0.2">
      <c r="D688" s="31" t="str">
        <f>IF(LEN(TRIM(A688))=0,"",COUNTIFS(Students!E:E, A688))</f>
        <v/>
      </c>
      <c r="E688" s="31" t="str">
        <f>IF(LEN(TRIM(A688))=0,"",COUNTIFS(Students!E:E, A688, Students!D:D, "&gt;=0"))</f>
        <v/>
      </c>
      <c r="F688" s="31" t="str">
        <f t="shared" si="20"/>
        <v/>
      </c>
      <c r="G688" s="6" t="str">
        <f t="shared" si="21"/>
        <v/>
      </c>
    </row>
    <row r="689" spans="4:7" x14ac:dyDescent="0.2">
      <c r="D689" s="31" t="str">
        <f>IF(LEN(TRIM(A689))=0,"",COUNTIFS(Students!E:E, A689))</f>
        <v/>
      </c>
      <c r="E689" s="31" t="str">
        <f>IF(LEN(TRIM(A689))=0,"",COUNTIFS(Students!E:E, A689, Students!D:D, "&gt;=0"))</f>
        <v/>
      </c>
      <c r="F689" s="31" t="str">
        <f t="shared" si="20"/>
        <v/>
      </c>
      <c r="G689" s="6" t="str">
        <f t="shared" si="21"/>
        <v/>
      </c>
    </row>
    <row r="690" spans="4:7" x14ac:dyDescent="0.2">
      <c r="D690" s="31" t="str">
        <f>IF(LEN(TRIM(A690))=0,"",COUNTIFS(Students!E:E, A690))</f>
        <v/>
      </c>
      <c r="E690" s="31" t="str">
        <f>IF(LEN(TRIM(A690))=0,"",COUNTIFS(Students!E:E, A690, Students!D:D, "&gt;=0"))</f>
        <v/>
      </c>
      <c r="F690" s="31" t="str">
        <f t="shared" si="20"/>
        <v/>
      </c>
      <c r="G690" s="6" t="str">
        <f t="shared" si="21"/>
        <v/>
      </c>
    </row>
    <row r="691" spans="4:7" x14ac:dyDescent="0.2">
      <c r="D691" s="31" t="str">
        <f>IF(LEN(TRIM(A691))=0,"",COUNTIFS(Students!E:E, A691))</f>
        <v/>
      </c>
      <c r="E691" s="31" t="str">
        <f>IF(LEN(TRIM(A691))=0,"",COUNTIFS(Students!E:E, A691, Students!D:D, "&gt;=0"))</f>
        <v/>
      </c>
      <c r="F691" s="31" t="str">
        <f t="shared" si="20"/>
        <v/>
      </c>
      <c r="G691" s="6" t="str">
        <f t="shared" si="21"/>
        <v/>
      </c>
    </row>
    <row r="692" spans="4:7" x14ac:dyDescent="0.2">
      <c r="D692" s="31" t="str">
        <f>IF(LEN(TRIM(A692))=0,"",COUNTIFS(Students!E:E, A692))</f>
        <v/>
      </c>
      <c r="E692" s="31" t="str">
        <f>IF(LEN(TRIM(A692))=0,"",COUNTIFS(Students!E:E, A692, Students!D:D, "&gt;=0"))</f>
        <v/>
      </c>
      <c r="F692" s="31" t="str">
        <f t="shared" si="20"/>
        <v/>
      </c>
      <c r="G692" s="6" t="str">
        <f t="shared" si="21"/>
        <v/>
      </c>
    </row>
    <row r="693" spans="4:7" x14ac:dyDescent="0.2">
      <c r="D693" s="31" t="str">
        <f>IF(LEN(TRIM(A693))=0,"",COUNTIFS(Students!E:E, A693))</f>
        <v/>
      </c>
      <c r="E693" s="31" t="str">
        <f>IF(LEN(TRIM(A693))=0,"",COUNTIFS(Students!E:E, A693, Students!D:D, "&gt;=0"))</f>
        <v/>
      </c>
      <c r="F693" s="31" t="str">
        <f t="shared" si="20"/>
        <v/>
      </c>
      <c r="G693" s="6" t="str">
        <f t="shared" si="21"/>
        <v/>
      </c>
    </row>
    <row r="694" spans="4:7" x14ac:dyDescent="0.2">
      <c r="D694" s="31" t="str">
        <f>IF(LEN(TRIM(A694))=0,"",COUNTIFS(Students!E:E, A694))</f>
        <v/>
      </c>
      <c r="E694" s="31" t="str">
        <f>IF(LEN(TRIM(A694))=0,"",COUNTIFS(Students!E:E, A694, Students!D:D, "&gt;=0"))</f>
        <v/>
      </c>
      <c r="F694" s="31" t="str">
        <f t="shared" si="20"/>
        <v/>
      </c>
      <c r="G694" s="6" t="str">
        <f t="shared" si="21"/>
        <v/>
      </c>
    </row>
    <row r="695" spans="4:7" x14ac:dyDescent="0.2">
      <c r="D695" s="31" t="str">
        <f>IF(LEN(TRIM(A695))=0,"",COUNTIFS(Students!E:E, A695))</f>
        <v/>
      </c>
      <c r="E695" s="31" t="str">
        <f>IF(LEN(TRIM(A695))=0,"",COUNTIFS(Students!E:E, A695, Students!D:D, "&gt;=0"))</f>
        <v/>
      </c>
      <c r="F695" s="31" t="str">
        <f t="shared" si="20"/>
        <v/>
      </c>
      <c r="G695" s="6" t="str">
        <f t="shared" si="21"/>
        <v/>
      </c>
    </row>
    <row r="696" spans="4:7" x14ac:dyDescent="0.2">
      <c r="D696" s="31" t="str">
        <f>IF(LEN(TRIM(A696))=0,"",COUNTIFS(Students!E:E, A696))</f>
        <v/>
      </c>
      <c r="E696" s="31" t="str">
        <f>IF(LEN(TRIM(A696))=0,"",COUNTIFS(Students!E:E, A696, Students!D:D, "&gt;=0"))</f>
        <v/>
      </c>
      <c r="F696" s="31" t="str">
        <f t="shared" si="20"/>
        <v/>
      </c>
      <c r="G696" s="6" t="str">
        <f t="shared" si="21"/>
        <v/>
      </c>
    </row>
    <row r="697" spans="4:7" x14ac:dyDescent="0.2">
      <c r="D697" s="31" t="str">
        <f>IF(LEN(TRIM(A697))=0,"",COUNTIFS(Students!E:E, A697))</f>
        <v/>
      </c>
      <c r="E697" s="31" t="str">
        <f>IF(LEN(TRIM(A697))=0,"",COUNTIFS(Students!E:E, A697, Students!D:D, "&gt;=0"))</f>
        <v/>
      </c>
      <c r="F697" s="31" t="str">
        <f t="shared" si="20"/>
        <v/>
      </c>
      <c r="G697" s="6" t="str">
        <f t="shared" si="21"/>
        <v/>
      </c>
    </row>
    <row r="698" spans="4:7" x14ac:dyDescent="0.2">
      <c r="D698" s="31" t="str">
        <f>IF(LEN(TRIM(A698))=0,"",COUNTIFS(Students!E:E, A698))</f>
        <v/>
      </c>
      <c r="E698" s="31" t="str">
        <f>IF(LEN(TRIM(A698))=0,"",COUNTIFS(Students!E:E, A698, Students!D:D, "&gt;=0"))</f>
        <v/>
      </c>
      <c r="F698" s="31" t="str">
        <f t="shared" si="20"/>
        <v/>
      </c>
      <c r="G698" s="6" t="str">
        <f t="shared" si="21"/>
        <v/>
      </c>
    </row>
    <row r="699" spans="4:7" x14ac:dyDescent="0.2">
      <c r="D699" s="31" t="str">
        <f>IF(LEN(TRIM(A699))=0,"",COUNTIFS(Students!E:E, A699))</f>
        <v/>
      </c>
      <c r="E699" s="31" t="str">
        <f>IF(LEN(TRIM(A699))=0,"",COUNTIFS(Students!E:E, A699, Students!D:D, "&gt;=0"))</f>
        <v/>
      </c>
      <c r="F699" s="31" t="str">
        <f t="shared" si="20"/>
        <v/>
      </c>
      <c r="G699" s="6" t="str">
        <f t="shared" si="21"/>
        <v/>
      </c>
    </row>
    <row r="700" spans="4:7" x14ac:dyDescent="0.2">
      <c r="D700" s="31" t="str">
        <f>IF(LEN(TRIM(A700))=0,"",COUNTIFS(Students!E:E, A700))</f>
        <v/>
      </c>
      <c r="E700" s="31" t="str">
        <f>IF(LEN(TRIM(A700))=0,"",COUNTIFS(Students!E:E, A700, Students!D:D, "&gt;=0"))</f>
        <v/>
      </c>
      <c r="F700" s="31" t="str">
        <f t="shared" si="20"/>
        <v/>
      </c>
      <c r="G700" s="6" t="str">
        <f t="shared" si="21"/>
        <v/>
      </c>
    </row>
    <row r="701" spans="4:7" x14ac:dyDescent="0.2">
      <c r="D701" s="31" t="str">
        <f>IF(LEN(TRIM(A701))=0,"",COUNTIFS(Students!E:E, A701))</f>
        <v/>
      </c>
      <c r="E701" s="31" t="str">
        <f>IF(LEN(TRIM(A701))=0,"",COUNTIFS(Students!E:E, A701, Students!D:D, "&gt;=0"))</f>
        <v/>
      </c>
      <c r="F701" s="31" t="str">
        <f t="shared" si="20"/>
        <v/>
      </c>
      <c r="G701" s="6" t="str">
        <f t="shared" si="21"/>
        <v/>
      </c>
    </row>
    <row r="702" spans="4:7" x14ac:dyDescent="0.2">
      <c r="D702" s="31" t="str">
        <f>IF(LEN(TRIM(A702))=0,"",COUNTIFS(Students!E:E, A702))</f>
        <v/>
      </c>
      <c r="E702" s="31" t="str">
        <f>IF(LEN(TRIM(A702))=0,"",COUNTIFS(Students!E:E, A702, Students!D:D, "&gt;=0"))</f>
        <v/>
      </c>
      <c r="F702" s="31" t="str">
        <f t="shared" si="20"/>
        <v/>
      </c>
      <c r="G702" s="6" t="str">
        <f t="shared" si="21"/>
        <v/>
      </c>
    </row>
    <row r="703" spans="4:7" x14ac:dyDescent="0.2">
      <c r="D703" s="31" t="str">
        <f>IF(LEN(TRIM(A703))=0,"",COUNTIFS(Students!E:E, A703))</f>
        <v/>
      </c>
      <c r="E703" s="31" t="str">
        <f>IF(LEN(TRIM(A703))=0,"",COUNTIFS(Students!E:E, A703, Students!D:D, "&gt;=0"))</f>
        <v/>
      </c>
      <c r="F703" s="31" t="str">
        <f t="shared" si="20"/>
        <v/>
      </c>
      <c r="G703" s="6" t="str">
        <f t="shared" si="21"/>
        <v/>
      </c>
    </row>
    <row r="704" spans="4:7" x14ac:dyDescent="0.2">
      <c r="D704" s="31" t="str">
        <f>IF(LEN(TRIM(A704))=0,"",COUNTIFS(Students!E:E, A704))</f>
        <v/>
      </c>
      <c r="E704" s="31" t="str">
        <f>IF(LEN(TRIM(A704))=0,"",COUNTIFS(Students!E:E, A704, Students!D:D, "&gt;=0"))</f>
        <v/>
      </c>
      <c r="F704" s="31" t="str">
        <f t="shared" si="20"/>
        <v/>
      </c>
      <c r="G704" s="6" t="str">
        <f t="shared" si="21"/>
        <v/>
      </c>
    </row>
    <row r="705" spans="4:7" x14ac:dyDescent="0.2">
      <c r="D705" s="31" t="str">
        <f>IF(LEN(TRIM(A705))=0,"",COUNTIFS(Students!E:E, A705))</f>
        <v/>
      </c>
      <c r="E705" s="31" t="str">
        <f>IF(LEN(TRIM(A705))=0,"",COUNTIFS(Students!E:E, A705, Students!D:D, "&gt;=0"))</f>
        <v/>
      </c>
      <c r="F705" s="31" t="str">
        <f t="shared" si="20"/>
        <v/>
      </c>
      <c r="G705" s="6" t="str">
        <f t="shared" si="21"/>
        <v/>
      </c>
    </row>
    <row r="706" spans="4:7" x14ac:dyDescent="0.2">
      <c r="D706" s="31" t="str">
        <f>IF(LEN(TRIM(A706))=0,"",COUNTIFS(Students!E:E, A706))</f>
        <v/>
      </c>
      <c r="E706" s="31" t="str">
        <f>IF(LEN(TRIM(A706))=0,"",COUNTIFS(Students!E:E, A706, Students!D:D, "&gt;=0"))</f>
        <v/>
      </c>
      <c r="F706" s="31" t="str">
        <f t="shared" si="20"/>
        <v/>
      </c>
      <c r="G706" s="6" t="str">
        <f t="shared" si="21"/>
        <v/>
      </c>
    </row>
    <row r="707" spans="4:7" x14ac:dyDescent="0.2">
      <c r="D707" s="31" t="str">
        <f>IF(LEN(TRIM(A707))=0,"",COUNTIFS(Students!E:E, A707))</f>
        <v/>
      </c>
      <c r="E707" s="31" t="str">
        <f>IF(LEN(TRIM(A707))=0,"",COUNTIFS(Students!E:E, A707, Students!D:D, "&gt;=0"))</f>
        <v/>
      </c>
      <c r="F707" s="31" t="str">
        <f t="shared" ref="F707:F770" si="22">IFERROR(D707-E707,"")</f>
        <v/>
      </c>
      <c r="G707" s="6" t="str">
        <f t="shared" ref="G707:G770" si="23">IFERROR(IF(D707=0, "N/A", E707/D707),"")</f>
        <v/>
      </c>
    </row>
    <row r="708" spans="4:7" x14ac:dyDescent="0.2">
      <c r="D708" s="31" t="str">
        <f>IF(LEN(TRIM(A708))=0,"",COUNTIFS(Students!E:E, A708))</f>
        <v/>
      </c>
      <c r="E708" s="31" t="str">
        <f>IF(LEN(TRIM(A708))=0,"",COUNTIFS(Students!E:E, A708, Students!D:D, "&gt;=0"))</f>
        <v/>
      </c>
      <c r="F708" s="31" t="str">
        <f t="shared" si="22"/>
        <v/>
      </c>
      <c r="G708" s="6" t="str">
        <f t="shared" si="23"/>
        <v/>
      </c>
    </row>
    <row r="709" spans="4:7" x14ac:dyDescent="0.2">
      <c r="D709" s="31" t="str">
        <f>IF(LEN(TRIM(A709))=0,"",COUNTIFS(Students!E:E, A709))</f>
        <v/>
      </c>
      <c r="E709" s="31" t="str">
        <f>IF(LEN(TRIM(A709))=0,"",COUNTIFS(Students!E:E, A709, Students!D:D, "&gt;=0"))</f>
        <v/>
      </c>
      <c r="F709" s="31" t="str">
        <f t="shared" si="22"/>
        <v/>
      </c>
      <c r="G709" s="6" t="str">
        <f t="shared" si="23"/>
        <v/>
      </c>
    </row>
    <row r="710" spans="4:7" x14ac:dyDescent="0.2">
      <c r="D710" s="31" t="str">
        <f>IF(LEN(TRIM(A710))=0,"",COUNTIFS(Students!E:E, A710))</f>
        <v/>
      </c>
      <c r="E710" s="31" t="str">
        <f>IF(LEN(TRIM(A710))=0,"",COUNTIFS(Students!E:E, A710, Students!D:D, "&gt;=0"))</f>
        <v/>
      </c>
      <c r="F710" s="31" t="str">
        <f t="shared" si="22"/>
        <v/>
      </c>
      <c r="G710" s="6" t="str">
        <f t="shared" si="23"/>
        <v/>
      </c>
    </row>
    <row r="711" spans="4:7" x14ac:dyDescent="0.2">
      <c r="D711" s="31" t="str">
        <f>IF(LEN(TRIM(A711))=0,"",COUNTIFS(Students!E:E, A711))</f>
        <v/>
      </c>
      <c r="E711" s="31" t="str">
        <f>IF(LEN(TRIM(A711))=0,"",COUNTIFS(Students!E:E, A711, Students!D:D, "&gt;=0"))</f>
        <v/>
      </c>
      <c r="F711" s="31" t="str">
        <f t="shared" si="22"/>
        <v/>
      </c>
      <c r="G711" s="6" t="str">
        <f t="shared" si="23"/>
        <v/>
      </c>
    </row>
    <row r="712" spans="4:7" x14ac:dyDescent="0.2">
      <c r="D712" s="31" t="str">
        <f>IF(LEN(TRIM(A712))=0,"",COUNTIFS(Students!E:E, A712))</f>
        <v/>
      </c>
      <c r="E712" s="31" t="str">
        <f>IF(LEN(TRIM(A712))=0,"",COUNTIFS(Students!E:E, A712, Students!D:D, "&gt;=0"))</f>
        <v/>
      </c>
      <c r="F712" s="31" t="str">
        <f t="shared" si="22"/>
        <v/>
      </c>
      <c r="G712" s="6" t="str">
        <f t="shared" si="23"/>
        <v/>
      </c>
    </row>
    <row r="713" spans="4:7" x14ac:dyDescent="0.2">
      <c r="D713" s="31" t="str">
        <f>IF(LEN(TRIM(A713))=0,"",COUNTIFS(Students!E:E, A713))</f>
        <v/>
      </c>
      <c r="E713" s="31" t="str">
        <f>IF(LEN(TRIM(A713))=0,"",COUNTIFS(Students!E:E, A713, Students!D:D, "&gt;=0"))</f>
        <v/>
      </c>
      <c r="F713" s="31" t="str">
        <f t="shared" si="22"/>
        <v/>
      </c>
      <c r="G713" s="6" t="str">
        <f t="shared" si="23"/>
        <v/>
      </c>
    </row>
    <row r="714" spans="4:7" x14ac:dyDescent="0.2">
      <c r="D714" s="31" t="str">
        <f>IF(LEN(TRIM(A714))=0,"",COUNTIFS(Students!E:E, A714))</f>
        <v/>
      </c>
      <c r="E714" s="31" t="str">
        <f>IF(LEN(TRIM(A714))=0,"",COUNTIFS(Students!E:E, A714, Students!D:D, "&gt;=0"))</f>
        <v/>
      </c>
      <c r="F714" s="31" t="str">
        <f t="shared" si="22"/>
        <v/>
      </c>
      <c r="G714" s="6" t="str">
        <f t="shared" si="23"/>
        <v/>
      </c>
    </row>
    <row r="715" spans="4:7" x14ac:dyDescent="0.2">
      <c r="D715" s="31" t="str">
        <f>IF(LEN(TRIM(A715))=0,"",COUNTIFS(Students!E:E, A715))</f>
        <v/>
      </c>
      <c r="E715" s="31" t="str">
        <f>IF(LEN(TRIM(A715))=0,"",COUNTIFS(Students!E:E, A715, Students!D:D, "&gt;=0"))</f>
        <v/>
      </c>
      <c r="F715" s="31" t="str">
        <f t="shared" si="22"/>
        <v/>
      </c>
      <c r="G715" s="6" t="str">
        <f t="shared" si="23"/>
        <v/>
      </c>
    </row>
    <row r="716" spans="4:7" x14ac:dyDescent="0.2">
      <c r="D716" s="31" t="str">
        <f>IF(LEN(TRIM(A716))=0,"",COUNTIFS(Students!E:E, A716))</f>
        <v/>
      </c>
      <c r="E716" s="31" t="str">
        <f>IF(LEN(TRIM(A716))=0,"",COUNTIFS(Students!E:E, A716, Students!D:D, "&gt;=0"))</f>
        <v/>
      </c>
      <c r="F716" s="31" t="str">
        <f t="shared" si="22"/>
        <v/>
      </c>
      <c r="G716" s="6" t="str">
        <f t="shared" si="23"/>
        <v/>
      </c>
    </row>
    <row r="717" spans="4:7" x14ac:dyDescent="0.2">
      <c r="D717" s="31" t="str">
        <f>IF(LEN(TRIM(A717))=0,"",COUNTIFS(Students!E:E, A717))</f>
        <v/>
      </c>
      <c r="E717" s="31" t="str">
        <f>IF(LEN(TRIM(A717))=0,"",COUNTIFS(Students!E:E, A717, Students!D:D, "&gt;=0"))</f>
        <v/>
      </c>
      <c r="F717" s="31" t="str">
        <f t="shared" si="22"/>
        <v/>
      </c>
      <c r="G717" s="6" t="str">
        <f t="shared" si="23"/>
        <v/>
      </c>
    </row>
    <row r="718" spans="4:7" x14ac:dyDescent="0.2">
      <c r="D718" s="31" t="str">
        <f>IF(LEN(TRIM(A718))=0,"",COUNTIFS(Students!E:E, A718))</f>
        <v/>
      </c>
      <c r="E718" s="31" t="str">
        <f>IF(LEN(TRIM(A718))=0,"",COUNTIFS(Students!E:E, A718, Students!D:D, "&gt;=0"))</f>
        <v/>
      </c>
      <c r="F718" s="31" t="str">
        <f t="shared" si="22"/>
        <v/>
      </c>
      <c r="G718" s="6" t="str">
        <f t="shared" si="23"/>
        <v/>
      </c>
    </row>
    <row r="719" spans="4:7" x14ac:dyDescent="0.2">
      <c r="D719" s="31" t="str">
        <f>IF(LEN(TRIM(A719))=0,"",COUNTIFS(Students!E:E, A719))</f>
        <v/>
      </c>
      <c r="E719" s="31" t="str">
        <f>IF(LEN(TRIM(A719))=0,"",COUNTIFS(Students!E:E, A719, Students!D:D, "&gt;=0"))</f>
        <v/>
      </c>
      <c r="F719" s="31" t="str">
        <f t="shared" si="22"/>
        <v/>
      </c>
      <c r="G719" s="6" t="str">
        <f t="shared" si="23"/>
        <v/>
      </c>
    </row>
    <row r="720" spans="4:7" x14ac:dyDescent="0.2">
      <c r="D720" s="31" t="str">
        <f>IF(LEN(TRIM(A720))=0,"",COUNTIFS(Students!E:E, A720))</f>
        <v/>
      </c>
      <c r="E720" s="31" t="str">
        <f>IF(LEN(TRIM(A720))=0,"",COUNTIFS(Students!E:E, A720, Students!D:D, "&gt;=0"))</f>
        <v/>
      </c>
      <c r="F720" s="31" t="str">
        <f t="shared" si="22"/>
        <v/>
      </c>
      <c r="G720" s="6" t="str">
        <f t="shared" si="23"/>
        <v/>
      </c>
    </row>
    <row r="721" spans="4:7" x14ac:dyDescent="0.2">
      <c r="D721" s="31" t="str">
        <f>IF(LEN(TRIM(A721))=0,"",COUNTIFS(Students!E:E, A721))</f>
        <v/>
      </c>
      <c r="E721" s="31" t="str">
        <f>IF(LEN(TRIM(A721))=0,"",COUNTIFS(Students!E:E, A721, Students!D:D, "&gt;=0"))</f>
        <v/>
      </c>
      <c r="F721" s="31" t="str">
        <f t="shared" si="22"/>
        <v/>
      </c>
      <c r="G721" s="6" t="str">
        <f t="shared" si="23"/>
        <v/>
      </c>
    </row>
    <row r="722" spans="4:7" x14ac:dyDescent="0.2">
      <c r="D722" s="31" t="str">
        <f>IF(LEN(TRIM(A722))=0,"",COUNTIFS(Students!E:E, A722))</f>
        <v/>
      </c>
      <c r="E722" s="31" t="str">
        <f>IF(LEN(TRIM(A722))=0,"",COUNTIFS(Students!E:E, A722, Students!D:D, "&gt;=0"))</f>
        <v/>
      </c>
      <c r="F722" s="31" t="str">
        <f t="shared" si="22"/>
        <v/>
      </c>
      <c r="G722" s="6" t="str">
        <f t="shared" si="23"/>
        <v/>
      </c>
    </row>
    <row r="723" spans="4:7" x14ac:dyDescent="0.2">
      <c r="D723" s="31" t="str">
        <f>IF(LEN(TRIM(A723))=0,"",COUNTIFS(Students!E:E, A723))</f>
        <v/>
      </c>
      <c r="E723" s="31" t="str">
        <f>IF(LEN(TRIM(A723))=0,"",COUNTIFS(Students!E:E, A723, Students!D:D, "&gt;=0"))</f>
        <v/>
      </c>
      <c r="F723" s="31" t="str">
        <f t="shared" si="22"/>
        <v/>
      </c>
      <c r="G723" s="6" t="str">
        <f t="shared" si="23"/>
        <v/>
      </c>
    </row>
    <row r="724" spans="4:7" x14ac:dyDescent="0.2">
      <c r="D724" s="31" t="str">
        <f>IF(LEN(TRIM(A724))=0,"",COUNTIFS(Students!E:E, A724))</f>
        <v/>
      </c>
      <c r="E724" s="31" t="str">
        <f>IF(LEN(TRIM(A724))=0,"",COUNTIFS(Students!E:E, A724, Students!D:D, "&gt;=0"))</f>
        <v/>
      </c>
      <c r="F724" s="31" t="str">
        <f t="shared" si="22"/>
        <v/>
      </c>
      <c r="G724" s="6" t="str">
        <f t="shared" si="23"/>
        <v/>
      </c>
    </row>
    <row r="725" spans="4:7" x14ac:dyDescent="0.2">
      <c r="D725" s="31" t="str">
        <f>IF(LEN(TRIM(A725))=0,"",COUNTIFS(Students!E:E, A725))</f>
        <v/>
      </c>
      <c r="E725" s="31" t="str">
        <f>IF(LEN(TRIM(A725))=0,"",COUNTIFS(Students!E:E, A725, Students!D:D, "&gt;=0"))</f>
        <v/>
      </c>
      <c r="F725" s="31" t="str">
        <f t="shared" si="22"/>
        <v/>
      </c>
      <c r="G725" s="6" t="str">
        <f t="shared" si="23"/>
        <v/>
      </c>
    </row>
    <row r="726" spans="4:7" x14ac:dyDescent="0.2">
      <c r="D726" s="31" t="str">
        <f>IF(LEN(TRIM(A726))=0,"",COUNTIFS(Students!E:E, A726))</f>
        <v/>
      </c>
      <c r="E726" s="31" t="str">
        <f>IF(LEN(TRIM(A726))=0,"",COUNTIFS(Students!E:E, A726, Students!D:D, "&gt;=0"))</f>
        <v/>
      </c>
      <c r="F726" s="31" t="str">
        <f t="shared" si="22"/>
        <v/>
      </c>
      <c r="G726" s="6" t="str">
        <f t="shared" si="23"/>
        <v/>
      </c>
    </row>
    <row r="727" spans="4:7" x14ac:dyDescent="0.2">
      <c r="D727" s="31" t="str">
        <f>IF(LEN(TRIM(A727))=0,"",COUNTIFS(Students!E:E, A727))</f>
        <v/>
      </c>
      <c r="E727" s="31" t="str">
        <f>IF(LEN(TRIM(A727))=0,"",COUNTIFS(Students!E:E, A727, Students!D:D, "&gt;=0"))</f>
        <v/>
      </c>
      <c r="F727" s="31" t="str">
        <f t="shared" si="22"/>
        <v/>
      </c>
      <c r="G727" s="6" t="str">
        <f t="shared" si="23"/>
        <v/>
      </c>
    </row>
    <row r="728" spans="4:7" x14ac:dyDescent="0.2">
      <c r="D728" s="31" t="str">
        <f>IF(LEN(TRIM(A728))=0,"",COUNTIFS(Students!E:E, A728))</f>
        <v/>
      </c>
      <c r="E728" s="31" t="str">
        <f>IF(LEN(TRIM(A728))=0,"",COUNTIFS(Students!E:E, A728, Students!D:D, "&gt;=0"))</f>
        <v/>
      </c>
      <c r="F728" s="31" t="str">
        <f t="shared" si="22"/>
        <v/>
      </c>
      <c r="G728" s="6" t="str">
        <f t="shared" si="23"/>
        <v/>
      </c>
    </row>
    <row r="729" spans="4:7" x14ac:dyDescent="0.2">
      <c r="D729" s="31" t="str">
        <f>IF(LEN(TRIM(A729))=0,"",COUNTIFS(Students!E:E, A729))</f>
        <v/>
      </c>
      <c r="E729" s="31" t="str">
        <f>IF(LEN(TRIM(A729))=0,"",COUNTIFS(Students!E:E, A729, Students!D:D, "&gt;=0"))</f>
        <v/>
      </c>
      <c r="F729" s="31" t="str">
        <f t="shared" si="22"/>
        <v/>
      </c>
      <c r="G729" s="6" t="str">
        <f t="shared" si="23"/>
        <v/>
      </c>
    </row>
    <row r="730" spans="4:7" x14ac:dyDescent="0.2">
      <c r="D730" s="31" t="str">
        <f>IF(LEN(TRIM(A730))=0,"",COUNTIFS(Students!E:E, A730))</f>
        <v/>
      </c>
      <c r="E730" s="31" t="str">
        <f>IF(LEN(TRIM(A730))=0,"",COUNTIFS(Students!E:E, A730, Students!D:D, "&gt;=0"))</f>
        <v/>
      </c>
      <c r="F730" s="31" t="str">
        <f t="shared" si="22"/>
        <v/>
      </c>
      <c r="G730" s="6" t="str">
        <f t="shared" si="23"/>
        <v/>
      </c>
    </row>
    <row r="731" spans="4:7" x14ac:dyDescent="0.2">
      <c r="D731" s="31" t="str">
        <f>IF(LEN(TRIM(A731))=0,"",COUNTIFS(Students!E:E, A731))</f>
        <v/>
      </c>
      <c r="E731" s="31" t="str">
        <f>IF(LEN(TRIM(A731))=0,"",COUNTIFS(Students!E:E, A731, Students!D:D, "&gt;=0"))</f>
        <v/>
      </c>
      <c r="F731" s="31" t="str">
        <f t="shared" si="22"/>
        <v/>
      </c>
      <c r="G731" s="6" t="str">
        <f t="shared" si="23"/>
        <v/>
      </c>
    </row>
    <row r="732" spans="4:7" x14ac:dyDescent="0.2">
      <c r="D732" s="31" t="str">
        <f>IF(LEN(TRIM(A732))=0,"",COUNTIFS(Students!E:E, A732))</f>
        <v/>
      </c>
      <c r="E732" s="31" t="str">
        <f>IF(LEN(TRIM(A732))=0,"",COUNTIFS(Students!E:E, A732, Students!D:D, "&gt;=0"))</f>
        <v/>
      </c>
      <c r="F732" s="31" t="str">
        <f t="shared" si="22"/>
        <v/>
      </c>
      <c r="G732" s="6" t="str">
        <f t="shared" si="23"/>
        <v/>
      </c>
    </row>
    <row r="733" spans="4:7" x14ac:dyDescent="0.2">
      <c r="D733" s="31" t="str">
        <f>IF(LEN(TRIM(A733))=0,"",COUNTIFS(Students!E:E, A733))</f>
        <v/>
      </c>
      <c r="E733" s="31" t="str">
        <f>IF(LEN(TRIM(A733))=0,"",COUNTIFS(Students!E:E, A733, Students!D:D, "&gt;=0"))</f>
        <v/>
      </c>
      <c r="F733" s="31" t="str">
        <f t="shared" si="22"/>
        <v/>
      </c>
      <c r="G733" s="6" t="str">
        <f t="shared" si="23"/>
        <v/>
      </c>
    </row>
    <row r="734" spans="4:7" x14ac:dyDescent="0.2">
      <c r="D734" s="31" t="str">
        <f>IF(LEN(TRIM(A734))=0,"",COUNTIFS(Students!E:E, A734))</f>
        <v/>
      </c>
      <c r="E734" s="31" t="str">
        <f>IF(LEN(TRIM(A734))=0,"",COUNTIFS(Students!E:E, A734, Students!D:D, "&gt;=0"))</f>
        <v/>
      </c>
      <c r="F734" s="31" t="str">
        <f t="shared" si="22"/>
        <v/>
      </c>
      <c r="G734" s="6" t="str">
        <f t="shared" si="23"/>
        <v/>
      </c>
    </row>
    <row r="735" spans="4:7" x14ac:dyDescent="0.2">
      <c r="D735" s="31" t="str">
        <f>IF(LEN(TRIM(A735))=0,"",COUNTIFS(Students!E:E, A735))</f>
        <v/>
      </c>
      <c r="E735" s="31" t="str">
        <f>IF(LEN(TRIM(A735))=0,"",COUNTIFS(Students!E:E, A735, Students!D:D, "&gt;=0"))</f>
        <v/>
      </c>
      <c r="F735" s="31" t="str">
        <f t="shared" si="22"/>
        <v/>
      </c>
      <c r="G735" s="6" t="str">
        <f t="shared" si="23"/>
        <v/>
      </c>
    </row>
    <row r="736" spans="4:7" x14ac:dyDescent="0.2">
      <c r="D736" s="31" t="str">
        <f>IF(LEN(TRIM(A736))=0,"",COUNTIFS(Students!E:E, A736))</f>
        <v/>
      </c>
      <c r="E736" s="31" t="str">
        <f>IF(LEN(TRIM(A736))=0,"",COUNTIFS(Students!E:E, A736, Students!D:D, "&gt;=0"))</f>
        <v/>
      </c>
      <c r="F736" s="31" t="str">
        <f t="shared" si="22"/>
        <v/>
      </c>
      <c r="G736" s="6" t="str">
        <f t="shared" si="23"/>
        <v/>
      </c>
    </row>
    <row r="737" spans="4:7" x14ac:dyDescent="0.2">
      <c r="D737" s="31" t="str">
        <f>IF(LEN(TRIM(A737))=0,"",COUNTIFS(Students!E:E, A737))</f>
        <v/>
      </c>
      <c r="E737" s="31" t="str">
        <f>IF(LEN(TRIM(A737))=0,"",COUNTIFS(Students!E:E, A737, Students!D:D, "&gt;=0"))</f>
        <v/>
      </c>
      <c r="F737" s="31" t="str">
        <f t="shared" si="22"/>
        <v/>
      </c>
      <c r="G737" s="6" t="str">
        <f t="shared" si="23"/>
        <v/>
      </c>
    </row>
    <row r="738" spans="4:7" x14ac:dyDescent="0.2">
      <c r="D738" s="31" t="str">
        <f>IF(LEN(TRIM(A738))=0,"",COUNTIFS(Students!E:E, A738))</f>
        <v/>
      </c>
      <c r="E738" s="31" t="str">
        <f>IF(LEN(TRIM(A738))=0,"",COUNTIFS(Students!E:E, A738, Students!D:D, "&gt;=0"))</f>
        <v/>
      </c>
      <c r="F738" s="31" t="str">
        <f t="shared" si="22"/>
        <v/>
      </c>
      <c r="G738" s="6" t="str">
        <f t="shared" si="23"/>
        <v/>
      </c>
    </row>
    <row r="739" spans="4:7" x14ac:dyDescent="0.2">
      <c r="D739" s="31" t="str">
        <f>IF(LEN(TRIM(A739))=0,"",COUNTIFS(Students!E:E, A739))</f>
        <v/>
      </c>
      <c r="E739" s="31" t="str">
        <f>IF(LEN(TRIM(A739))=0,"",COUNTIFS(Students!E:E, A739, Students!D:D, "&gt;=0"))</f>
        <v/>
      </c>
      <c r="F739" s="31" t="str">
        <f t="shared" si="22"/>
        <v/>
      </c>
      <c r="G739" s="6" t="str">
        <f t="shared" si="23"/>
        <v/>
      </c>
    </row>
    <row r="740" spans="4:7" x14ac:dyDescent="0.2">
      <c r="D740" s="31" t="str">
        <f>IF(LEN(TRIM(A740))=0,"",COUNTIFS(Students!E:E, A740))</f>
        <v/>
      </c>
      <c r="E740" s="31" t="str">
        <f>IF(LEN(TRIM(A740))=0,"",COUNTIFS(Students!E:E, A740, Students!D:D, "&gt;=0"))</f>
        <v/>
      </c>
      <c r="F740" s="31" t="str">
        <f t="shared" si="22"/>
        <v/>
      </c>
      <c r="G740" s="6" t="str">
        <f t="shared" si="23"/>
        <v/>
      </c>
    </row>
    <row r="741" spans="4:7" x14ac:dyDescent="0.2">
      <c r="D741" s="31" t="str">
        <f>IF(LEN(TRIM(A741))=0,"",COUNTIFS(Students!E:E, A741))</f>
        <v/>
      </c>
      <c r="E741" s="31" t="str">
        <f>IF(LEN(TRIM(A741))=0,"",COUNTIFS(Students!E:E, A741, Students!D:D, "&gt;=0"))</f>
        <v/>
      </c>
      <c r="F741" s="31" t="str">
        <f t="shared" si="22"/>
        <v/>
      </c>
      <c r="G741" s="6" t="str">
        <f t="shared" si="23"/>
        <v/>
      </c>
    </row>
    <row r="742" spans="4:7" x14ac:dyDescent="0.2">
      <c r="D742" s="31" t="str">
        <f>IF(LEN(TRIM(A742))=0,"",COUNTIFS(Students!E:E, A742))</f>
        <v/>
      </c>
      <c r="E742" s="31" t="str">
        <f>IF(LEN(TRIM(A742))=0,"",COUNTIFS(Students!E:E, A742, Students!D:D, "&gt;=0"))</f>
        <v/>
      </c>
      <c r="F742" s="31" t="str">
        <f t="shared" si="22"/>
        <v/>
      </c>
      <c r="G742" s="6" t="str">
        <f t="shared" si="23"/>
        <v/>
      </c>
    </row>
    <row r="743" spans="4:7" x14ac:dyDescent="0.2">
      <c r="D743" s="31" t="str">
        <f>IF(LEN(TRIM(A743))=0,"",COUNTIFS(Students!E:E, A743))</f>
        <v/>
      </c>
      <c r="E743" s="31" t="str">
        <f>IF(LEN(TRIM(A743))=0,"",COUNTIFS(Students!E:E, A743, Students!D:D, "&gt;=0"))</f>
        <v/>
      </c>
      <c r="F743" s="31" t="str">
        <f t="shared" si="22"/>
        <v/>
      </c>
      <c r="G743" s="6" t="str">
        <f t="shared" si="23"/>
        <v/>
      </c>
    </row>
    <row r="744" spans="4:7" x14ac:dyDescent="0.2">
      <c r="D744" s="31" t="str">
        <f>IF(LEN(TRIM(A744))=0,"",COUNTIFS(Students!E:E, A744))</f>
        <v/>
      </c>
      <c r="E744" s="31" t="str">
        <f>IF(LEN(TRIM(A744))=0,"",COUNTIFS(Students!E:E, A744, Students!D:D, "&gt;=0"))</f>
        <v/>
      </c>
      <c r="F744" s="31" t="str">
        <f t="shared" si="22"/>
        <v/>
      </c>
      <c r="G744" s="6" t="str">
        <f t="shared" si="23"/>
        <v/>
      </c>
    </row>
    <row r="745" spans="4:7" x14ac:dyDescent="0.2">
      <c r="D745" s="31" t="str">
        <f>IF(LEN(TRIM(A745))=0,"",COUNTIFS(Students!E:E, A745))</f>
        <v/>
      </c>
      <c r="E745" s="31" t="str">
        <f>IF(LEN(TRIM(A745))=0,"",COUNTIFS(Students!E:E, A745, Students!D:D, "&gt;=0"))</f>
        <v/>
      </c>
      <c r="F745" s="31" t="str">
        <f t="shared" si="22"/>
        <v/>
      </c>
      <c r="G745" s="6" t="str">
        <f t="shared" si="23"/>
        <v/>
      </c>
    </row>
    <row r="746" spans="4:7" x14ac:dyDescent="0.2">
      <c r="D746" s="31" t="str">
        <f>IF(LEN(TRIM(A746))=0,"",COUNTIFS(Students!E:E, A746))</f>
        <v/>
      </c>
      <c r="E746" s="31" t="str">
        <f>IF(LEN(TRIM(A746))=0,"",COUNTIFS(Students!E:E, A746, Students!D:D, "&gt;=0"))</f>
        <v/>
      </c>
      <c r="F746" s="31" t="str">
        <f t="shared" si="22"/>
        <v/>
      </c>
      <c r="G746" s="6" t="str">
        <f t="shared" si="23"/>
        <v/>
      </c>
    </row>
    <row r="747" spans="4:7" x14ac:dyDescent="0.2">
      <c r="D747" s="31" t="str">
        <f>IF(LEN(TRIM(A747))=0,"",COUNTIFS(Students!E:E, A747))</f>
        <v/>
      </c>
      <c r="E747" s="31" t="str">
        <f>IF(LEN(TRIM(A747))=0,"",COUNTIFS(Students!E:E, A747, Students!D:D, "&gt;=0"))</f>
        <v/>
      </c>
      <c r="F747" s="31" t="str">
        <f t="shared" si="22"/>
        <v/>
      </c>
      <c r="G747" s="6" t="str">
        <f t="shared" si="23"/>
        <v/>
      </c>
    </row>
    <row r="748" spans="4:7" x14ac:dyDescent="0.2">
      <c r="D748" s="31" t="str">
        <f>IF(LEN(TRIM(A748))=0,"",COUNTIFS(Students!E:E, A748))</f>
        <v/>
      </c>
      <c r="E748" s="31" t="str">
        <f>IF(LEN(TRIM(A748))=0,"",COUNTIFS(Students!E:E, A748, Students!D:D, "&gt;=0"))</f>
        <v/>
      </c>
      <c r="F748" s="31" t="str">
        <f t="shared" si="22"/>
        <v/>
      </c>
      <c r="G748" s="6" t="str">
        <f t="shared" si="23"/>
        <v/>
      </c>
    </row>
    <row r="749" spans="4:7" x14ac:dyDescent="0.2">
      <c r="D749" s="31" t="str">
        <f>IF(LEN(TRIM(A749))=0,"",COUNTIFS(Students!E:E, A749))</f>
        <v/>
      </c>
      <c r="E749" s="31" t="str">
        <f>IF(LEN(TRIM(A749))=0,"",COUNTIFS(Students!E:E, A749, Students!D:D, "&gt;=0"))</f>
        <v/>
      </c>
      <c r="F749" s="31" t="str">
        <f t="shared" si="22"/>
        <v/>
      </c>
      <c r="G749" s="6" t="str">
        <f t="shared" si="23"/>
        <v/>
      </c>
    </row>
    <row r="750" spans="4:7" x14ac:dyDescent="0.2">
      <c r="D750" s="31" t="str">
        <f>IF(LEN(TRIM(A750))=0,"",COUNTIFS(Students!E:E, A750))</f>
        <v/>
      </c>
      <c r="E750" s="31" t="str">
        <f>IF(LEN(TRIM(A750))=0,"",COUNTIFS(Students!E:E, A750, Students!D:D, "&gt;=0"))</f>
        <v/>
      </c>
      <c r="F750" s="31" t="str">
        <f t="shared" si="22"/>
        <v/>
      </c>
      <c r="G750" s="6" t="str">
        <f t="shared" si="23"/>
        <v/>
      </c>
    </row>
    <row r="751" spans="4:7" x14ac:dyDescent="0.2">
      <c r="D751" s="31" t="str">
        <f>IF(LEN(TRIM(A751))=0,"",COUNTIFS(Students!E:E, A751))</f>
        <v/>
      </c>
      <c r="E751" s="31" t="str">
        <f>IF(LEN(TRIM(A751))=0,"",COUNTIFS(Students!E:E, A751, Students!D:D, "&gt;=0"))</f>
        <v/>
      </c>
      <c r="F751" s="31" t="str">
        <f t="shared" si="22"/>
        <v/>
      </c>
      <c r="G751" s="6" t="str">
        <f t="shared" si="23"/>
        <v/>
      </c>
    </row>
    <row r="752" spans="4:7" x14ac:dyDescent="0.2">
      <c r="D752" s="31" t="str">
        <f>IF(LEN(TRIM(A752))=0,"",COUNTIFS(Students!E:E, A752))</f>
        <v/>
      </c>
      <c r="E752" s="31" t="str">
        <f>IF(LEN(TRIM(A752))=0,"",COUNTIFS(Students!E:E, A752, Students!D:D, "&gt;=0"))</f>
        <v/>
      </c>
      <c r="F752" s="31" t="str">
        <f t="shared" si="22"/>
        <v/>
      </c>
      <c r="G752" s="6" t="str">
        <f t="shared" si="23"/>
        <v/>
      </c>
    </row>
    <row r="753" spans="4:7" x14ac:dyDescent="0.2">
      <c r="D753" s="31" t="str">
        <f>IF(LEN(TRIM(A753))=0,"",COUNTIFS(Students!E:E, A753))</f>
        <v/>
      </c>
      <c r="E753" s="31" t="str">
        <f>IF(LEN(TRIM(A753))=0,"",COUNTIFS(Students!E:E, A753, Students!D:D, "&gt;=0"))</f>
        <v/>
      </c>
      <c r="F753" s="31" t="str">
        <f t="shared" si="22"/>
        <v/>
      </c>
      <c r="G753" s="6" t="str">
        <f t="shared" si="23"/>
        <v/>
      </c>
    </row>
    <row r="754" spans="4:7" x14ac:dyDescent="0.2">
      <c r="D754" s="31" t="str">
        <f>IF(LEN(TRIM(A754))=0,"",COUNTIFS(Students!E:E, A754))</f>
        <v/>
      </c>
      <c r="E754" s="31" t="str">
        <f>IF(LEN(TRIM(A754))=0,"",COUNTIFS(Students!E:E, A754, Students!D:D, "&gt;=0"))</f>
        <v/>
      </c>
      <c r="F754" s="31" t="str">
        <f t="shared" si="22"/>
        <v/>
      </c>
      <c r="G754" s="6" t="str">
        <f t="shared" si="23"/>
        <v/>
      </c>
    </row>
    <row r="755" spans="4:7" x14ac:dyDescent="0.2">
      <c r="D755" s="31" t="str">
        <f>IF(LEN(TRIM(A755))=0,"",COUNTIFS(Students!E:E, A755))</f>
        <v/>
      </c>
      <c r="E755" s="31" t="str">
        <f>IF(LEN(TRIM(A755))=0,"",COUNTIFS(Students!E:E, A755, Students!D:D, "&gt;=0"))</f>
        <v/>
      </c>
      <c r="F755" s="31" t="str">
        <f t="shared" si="22"/>
        <v/>
      </c>
      <c r="G755" s="6" t="str">
        <f t="shared" si="23"/>
        <v/>
      </c>
    </row>
    <row r="756" spans="4:7" x14ac:dyDescent="0.2">
      <c r="D756" s="31" t="str">
        <f>IF(LEN(TRIM(A756))=0,"",COUNTIFS(Students!E:E, A756))</f>
        <v/>
      </c>
      <c r="E756" s="31" t="str">
        <f>IF(LEN(TRIM(A756))=0,"",COUNTIFS(Students!E:E, A756, Students!D:D, "&gt;=0"))</f>
        <v/>
      </c>
      <c r="F756" s="31" t="str">
        <f t="shared" si="22"/>
        <v/>
      </c>
      <c r="G756" s="6" t="str">
        <f t="shared" si="23"/>
        <v/>
      </c>
    </row>
    <row r="757" spans="4:7" x14ac:dyDescent="0.2">
      <c r="D757" s="31" t="str">
        <f>IF(LEN(TRIM(A757))=0,"",COUNTIFS(Students!E:E, A757))</f>
        <v/>
      </c>
      <c r="E757" s="31" t="str">
        <f>IF(LEN(TRIM(A757))=0,"",COUNTIFS(Students!E:E, A757, Students!D:D, "&gt;=0"))</f>
        <v/>
      </c>
      <c r="F757" s="31" t="str">
        <f t="shared" si="22"/>
        <v/>
      </c>
      <c r="G757" s="6" t="str">
        <f t="shared" si="23"/>
        <v/>
      </c>
    </row>
    <row r="758" spans="4:7" x14ac:dyDescent="0.2">
      <c r="D758" s="31" t="str">
        <f>IF(LEN(TRIM(A758))=0,"",COUNTIFS(Students!E:E, A758))</f>
        <v/>
      </c>
      <c r="E758" s="31" t="str">
        <f>IF(LEN(TRIM(A758))=0,"",COUNTIFS(Students!E:E, A758, Students!D:D, "&gt;=0"))</f>
        <v/>
      </c>
      <c r="F758" s="31" t="str">
        <f t="shared" si="22"/>
        <v/>
      </c>
      <c r="G758" s="6" t="str">
        <f t="shared" si="23"/>
        <v/>
      </c>
    </row>
    <row r="759" spans="4:7" x14ac:dyDescent="0.2">
      <c r="D759" s="31" t="str">
        <f>IF(LEN(TRIM(A759))=0,"",COUNTIFS(Students!E:E, A759))</f>
        <v/>
      </c>
      <c r="E759" s="31" t="str">
        <f>IF(LEN(TRIM(A759))=0,"",COUNTIFS(Students!E:E, A759, Students!D:D, "&gt;=0"))</f>
        <v/>
      </c>
      <c r="F759" s="31" t="str">
        <f t="shared" si="22"/>
        <v/>
      </c>
      <c r="G759" s="6" t="str">
        <f t="shared" si="23"/>
        <v/>
      </c>
    </row>
    <row r="760" spans="4:7" x14ac:dyDescent="0.2">
      <c r="D760" s="31" t="str">
        <f>IF(LEN(TRIM(A760))=0,"",COUNTIFS(Students!E:E, A760))</f>
        <v/>
      </c>
      <c r="E760" s="31" t="str">
        <f>IF(LEN(TRIM(A760))=0,"",COUNTIFS(Students!E:E, A760, Students!D:D, "&gt;=0"))</f>
        <v/>
      </c>
      <c r="F760" s="31" t="str">
        <f t="shared" si="22"/>
        <v/>
      </c>
      <c r="G760" s="6" t="str">
        <f t="shared" si="23"/>
        <v/>
      </c>
    </row>
    <row r="761" spans="4:7" x14ac:dyDescent="0.2">
      <c r="D761" s="31" t="str">
        <f>IF(LEN(TRIM(A761))=0,"",COUNTIFS(Students!E:E, A761))</f>
        <v/>
      </c>
      <c r="E761" s="31" t="str">
        <f>IF(LEN(TRIM(A761))=0,"",COUNTIFS(Students!E:E, A761, Students!D:D, "&gt;=0"))</f>
        <v/>
      </c>
      <c r="F761" s="31" t="str">
        <f t="shared" si="22"/>
        <v/>
      </c>
      <c r="G761" s="6" t="str">
        <f t="shared" si="23"/>
        <v/>
      </c>
    </row>
    <row r="762" spans="4:7" x14ac:dyDescent="0.2">
      <c r="D762" s="31" t="str">
        <f>IF(LEN(TRIM(A762))=0,"",COUNTIFS(Students!E:E, A762))</f>
        <v/>
      </c>
      <c r="E762" s="31" t="str">
        <f>IF(LEN(TRIM(A762))=0,"",COUNTIFS(Students!E:E, A762, Students!D:D, "&gt;=0"))</f>
        <v/>
      </c>
      <c r="F762" s="31" t="str">
        <f t="shared" si="22"/>
        <v/>
      </c>
      <c r="G762" s="6" t="str">
        <f t="shared" si="23"/>
        <v/>
      </c>
    </row>
    <row r="763" spans="4:7" x14ac:dyDescent="0.2">
      <c r="D763" s="31" t="str">
        <f>IF(LEN(TRIM(A763))=0,"",COUNTIFS(Students!E:E, A763))</f>
        <v/>
      </c>
      <c r="E763" s="31" t="str">
        <f>IF(LEN(TRIM(A763))=0,"",COUNTIFS(Students!E:E, A763, Students!D:D, "&gt;=0"))</f>
        <v/>
      </c>
      <c r="F763" s="31" t="str">
        <f t="shared" si="22"/>
        <v/>
      </c>
      <c r="G763" s="6" t="str">
        <f t="shared" si="23"/>
        <v/>
      </c>
    </row>
    <row r="764" spans="4:7" x14ac:dyDescent="0.2">
      <c r="D764" s="31" t="str">
        <f>IF(LEN(TRIM(A764))=0,"",COUNTIFS(Students!E:E, A764))</f>
        <v/>
      </c>
      <c r="E764" s="31" t="str">
        <f>IF(LEN(TRIM(A764))=0,"",COUNTIFS(Students!E:E, A764, Students!D:D, "&gt;=0"))</f>
        <v/>
      </c>
      <c r="F764" s="31" t="str">
        <f t="shared" si="22"/>
        <v/>
      </c>
      <c r="G764" s="6" t="str">
        <f t="shared" si="23"/>
        <v/>
      </c>
    </row>
    <row r="765" spans="4:7" x14ac:dyDescent="0.2">
      <c r="D765" s="31" t="str">
        <f>IF(LEN(TRIM(A765))=0,"",COUNTIFS(Students!E:E, A765))</f>
        <v/>
      </c>
      <c r="E765" s="31" t="str">
        <f>IF(LEN(TRIM(A765))=0,"",COUNTIFS(Students!E:E, A765, Students!D:D, "&gt;=0"))</f>
        <v/>
      </c>
      <c r="F765" s="31" t="str">
        <f t="shared" si="22"/>
        <v/>
      </c>
      <c r="G765" s="6" t="str">
        <f t="shared" si="23"/>
        <v/>
      </c>
    </row>
    <row r="766" spans="4:7" x14ac:dyDescent="0.2">
      <c r="D766" s="31" t="str">
        <f>IF(LEN(TRIM(A766))=0,"",COUNTIFS(Students!E:E, A766))</f>
        <v/>
      </c>
      <c r="E766" s="31" t="str">
        <f>IF(LEN(TRIM(A766))=0,"",COUNTIFS(Students!E:E, A766, Students!D:D, "&gt;=0"))</f>
        <v/>
      </c>
      <c r="F766" s="31" t="str">
        <f t="shared" si="22"/>
        <v/>
      </c>
      <c r="G766" s="6" t="str">
        <f t="shared" si="23"/>
        <v/>
      </c>
    </row>
    <row r="767" spans="4:7" x14ac:dyDescent="0.2">
      <c r="D767" s="31" t="str">
        <f>IF(LEN(TRIM(A767))=0,"",COUNTIFS(Students!E:E, A767))</f>
        <v/>
      </c>
      <c r="E767" s="31" t="str">
        <f>IF(LEN(TRIM(A767))=0,"",COUNTIFS(Students!E:E, A767, Students!D:D, "&gt;=0"))</f>
        <v/>
      </c>
      <c r="F767" s="31" t="str">
        <f t="shared" si="22"/>
        <v/>
      </c>
      <c r="G767" s="6" t="str">
        <f t="shared" si="23"/>
        <v/>
      </c>
    </row>
    <row r="768" spans="4:7" x14ac:dyDescent="0.2">
      <c r="D768" s="31" t="str">
        <f>IF(LEN(TRIM(A768))=0,"",COUNTIFS(Students!E:E, A768))</f>
        <v/>
      </c>
      <c r="E768" s="31" t="str">
        <f>IF(LEN(TRIM(A768))=0,"",COUNTIFS(Students!E:E, A768, Students!D:D, "&gt;=0"))</f>
        <v/>
      </c>
      <c r="F768" s="31" t="str">
        <f t="shared" si="22"/>
        <v/>
      </c>
      <c r="G768" s="6" t="str">
        <f t="shared" si="23"/>
        <v/>
      </c>
    </row>
    <row r="769" spans="4:7" x14ac:dyDescent="0.2">
      <c r="D769" s="31" t="str">
        <f>IF(LEN(TRIM(A769))=0,"",COUNTIFS(Students!E:E, A769))</f>
        <v/>
      </c>
      <c r="E769" s="31" t="str">
        <f>IF(LEN(TRIM(A769))=0,"",COUNTIFS(Students!E:E, A769, Students!D:D, "&gt;=0"))</f>
        <v/>
      </c>
      <c r="F769" s="31" t="str">
        <f t="shared" si="22"/>
        <v/>
      </c>
      <c r="G769" s="6" t="str">
        <f t="shared" si="23"/>
        <v/>
      </c>
    </row>
    <row r="770" spans="4:7" x14ac:dyDescent="0.2">
      <c r="D770" s="31" t="str">
        <f>IF(LEN(TRIM(A770))=0,"",COUNTIFS(Students!E:E, A770))</f>
        <v/>
      </c>
      <c r="E770" s="31" t="str">
        <f>IF(LEN(TRIM(A770))=0,"",COUNTIFS(Students!E:E, A770, Students!D:D, "&gt;=0"))</f>
        <v/>
      </c>
      <c r="F770" s="31" t="str">
        <f t="shared" si="22"/>
        <v/>
      </c>
      <c r="G770" s="6" t="str">
        <f t="shared" si="23"/>
        <v/>
      </c>
    </row>
    <row r="771" spans="4:7" x14ac:dyDescent="0.2">
      <c r="D771" s="31" t="str">
        <f>IF(LEN(TRIM(A771))=0,"",COUNTIFS(Students!E:E, A771))</f>
        <v/>
      </c>
      <c r="E771" s="31" t="str">
        <f>IF(LEN(TRIM(A771))=0,"",COUNTIFS(Students!E:E, A771, Students!D:D, "&gt;=0"))</f>
        <v/>
      </c>
      <c r="F771" s="31" t="str">
        <f t="shared" ref="F771:F834" si="24">IFERROR(D771-E771,"")</f>
        <v/>
      </c>
      <c r="G771" s="6" t="str">
        <f t="shared" ref="G771:G834" si="25">IFERROR(IF(D771=0, "N/A", E771/D771),"")</f>
        <v/>
      </c>
    </row>
    <row r="772" spans="4:7" x14ac:dyDescent="0.2">
      <c r="D772" s="31" t="str">
        <f>IF(LEN(TRIM(A772))=0,"",COUNTIFS(Students!E:E, A772))</f>
        <v/>
      </c>
      <c r="E772" s="31" t="str">
        <f>IF(LEN(TRIM(A772))=0,"",COUNTIFS(Students!E:E, A772, Students!D:D, "&gt;=0"))</f>
        <v/>
      </c>
      <c r="F772" s="31" t="str">
        <f t="shared" si="24"/>
        <v/>
      </c>
      <c r="G772" s="6" t="str">
        <f t="shared" si="25"/>
        <v/>
      </c>
    </row>
    <row r="773" spans="4:7" x14ac:dyDescent="0.2">
      <c r="D773" s="31" t="str">
        <f>IF(LEN(TRIM(A773))=0,"",COUNTIFS(Students!E:E, A773))</f>
        <v/>
      </c>
      <c r="E773" s="31" t="str">
        <f>IF(LEN(TRIM(A773))=0,"",COUNTIFS(Students!E:E, A773, Students!D:D, "&gt;=0"))</f>
        <v/>
      </c>
      <c r="F773" s="31" t="str">
        <f t="shared" si="24"/>
        <v/>
      </c>
      <c r="G773" s="6" t="str">
        <f t="shared" si="25"/>
        <v/>
      </c>
    </row>
    <row r="774" spans="4:7" x14ac:dyDescent="0.2">
      <c r="D774" s="31" t="str">
        <f>IF(LEN(TRIM(A774))=0,"",COUNTIFS(Students!E:E, A774))</f>
        <v/>
      </c>
      <c r="E774" s="31" t="str">
        <f>IF(LEN(TRIM(A774))=0,"",COUNTIFS(Students!E:E, A774, Students!D:D, "&gt;=0"))</f>
        <v/>
      </c>
      <c r="F774" s="31" t="str">
        <f t="shared" si="24"/>
        <v/>
      </c>
      <c r="G774" s="6" t="str">
        <f t="shared" si="25"/>
        <v/>
      </c>
    </row>
    <row r="775" spans="4:7" x14ac:dyDescent="0.2">
      <c r="D775" s="31" t="str">
        <f>IF(LEN(TRIM(A775))=0,"",COUNTIFS(Students!E:E, A775))</f>
        <v/>
      </c>
      <c r="E775" s="31" t="str">
        <f>IF(LEN(TRIM(A775))=0,"",COUNTIFS(Students!E:E, A775, Students!D:D, "&gt;=0"))</f>
        <v/>
      </c>
      <c r="F775" s="31" t="str">
        <f t="shared" si="24"/>
        <v/>
      </c>
      <c r="G775" s="6" t="str">
        <f t="shared" si="25"/>
        <v/>
      </c>
    </row>
    <row r="776" spans="4:7" x14ac:dyDescent="0.2">
      <c r="D776" s="31" t="str">
        <f>IF(LEN(TRIM(A776))=0,"",COUNTIFS(Students!E:E, A776))</f>
        <v/>
      </c>
      <c r="E776" s="31" t="str">
        <f>IF(LEN(TRIM(A776))=0,"",COUNTIFS(Students!E:E, A776, Students!D:D, "&gt;=0"))</f>
        <v/>
      </c>
      <c r="F776" s="31" t="str">
        <f t="shared" si="24"/>
        <v/>
      </c>
      <c r="G776" s="6" t="str">
        <f t="shared" si="25"/>
        <v/>
      </c>
    </row>
    <row r="777" spans="4:7" x14ac:dyDescent="0.2">
      <c r="D777" s="31" t="str">
        <f>IF(LEN(TRIM(A777))=0,"",COUNTIFS(Students!E:E, A777))</f>
        <v/>
      </c>
      <c r="E777" s="31" t="str">
        <f>IF(LEN(TRIM(A777))=0,"",COUNTIFS(Students!E:E, A777, Students!D:D, "&gt;=0"))</f>
        <v/>
      </c>
      <c r="F777" s="31" t="str">
        <f t="shared" si="24"/>
        <v/>
      </c>
      <c r="G777" s="6" t="str">
        <f t="shared" si="25"/>
        <v/>
      </c>
    </row>
    <row r="778" spans="4:7" x14ac:dyDescent="0.2">
      <c r="D778" s="31" t="str">
        <f>IF(LEN(TRIM(A778))=0,"",COUNTIFS(Students!E:E, A778))</f>
        <v/>
      </c>
      <c r="E778" s="31" t="str">
        <f>IF(LEN(TRIM(A778))=0,"",COUNTIFS(Students!E:E, A778, Students!D:D, "&gt;=0"))</f>
        <v/>
      </c>
      <c r="F778" s="31" t="str">
        <f t="shared" si="24"/>
        <v/>
      </c>
      <c r="G778" s="6" t="str">
        <f t="shared" si="25"/>
        <v/>
      </c>
    </row>
    <row r="779" spans="4:7" x14ac:dyDescent="0.2">
      <c r="D779" s="31" t="str">
        <f>IF(LEN(TRIM(A779))=0,"",COUNTIFS(Students!E:E, A779))</f>
        <v/>
      </c>
      <c r="E779" s="31" t="str">
        <f>IF(LEN(TRIM(A779))=0,"",COUNTIFS(Students!E:E, A779, Students!D:D, "&gt;=0"))</f>
        <v/>
      </c>
      <c r="F779" s="31" t="str">
        <f t="shared" si="24"/>
        <v/>
      </c>
      <c r="G779" s="6" t="str">
        <f t="shared" si="25"/>
        <v/>
      </c>
    </row>
    <row r="780" spans="4:7" x14ac:dyDescent="0.2">
      <c r="D780" s="31" t="str">
        <f>IF(LEN(TRIM(A780))=0,"",COUNTIFS(Students!E:E, A780))</f>
        <v/>
      </c>
      <c r="E780" s="31" t="str">
        <f>IF(LEN(TRIM(A780))=0,"",COUNTIFS(Students!E:E, A780, Students!D:D, "&gt;=0"))</f>
        <v/>
      </c>
      <c r="F780" s="31" t="str">
        <f t="shared" si="24"/>
        <v/>
      </c>
      <c r="G780" s="6" t="str">
        <f t="shared" si="25"/>
        <v/>
      </c>
    </row>
    <row r="781" spans="4:7" x14ac:dyDescent="0.2">
      <c r="D781" s="31" t="str">
        <f>IF(LEN(TRIM(A781))=0,"",COUNTIFS(Students!E:E, A781))</f>
        <v/>
      </c>
      <c r="E781" s="31" t="str">
        <f>IF(LEN(TRIM(A781))=0,"",COUNTIFS(Students!E:E, A781, Students!D:D, "&gt;=0"))</f>
        <v/>
      </c>
      <c r="F781" s="31" t="str">
        <f t="shared" si="24"/>
        <v/>
      </c>
      <c r="G781" s="6" t="str">
        <f t="shared" si="25"/>
        <v/>
      </c>
    </row>
    <row r="782" spans="4:7" x14ac:dyDescent="0.2">
      <c r="D782" s="31" t="str">
        <f>IF(LEN(TRIM(A782))=0,"",COUNTIFS(Students!E:E, A782))</f>
        <v/>
      </c>
      <c r="E782" s="31" t="str">
        <f>IF(LEN(TRIM(A782))=0,"",COUNTIFS(Students!E:E, A782, Students!D:D, "&gt;=0"))</f>
        <v/>
      </c>
      <c r="F782" s="31" t="str">
        <f t="shared" si="24"/>
        <v/>
      </c>
      <c r="G782" s="6" t="str">
        <f t="shared" si="25"/>
        <v/>
      </c>
    </row>
    <row r="783" spans="4:7" x14ac:dyDescent="0.2">
      <c r="D783" s="31" t="str">
        <f>IF(LEN(TRIM(A783))=0,"",COUNTIFS(Students!E:E, A783))</f>
        <v/>
      </c>
      <c r="E783" s="31" t="str">
        <f>IF(LEN(TRIM(A783))=0,"",COUNTIFS(Students!E:E, A783, Students!D:D, "&gt;=0"))</f>
        <v/>
      </c>
      <c r="F783" s="31" t="str">
        <f t="shared" si="24"/>
        <v/>
      </c>
      <c r="G783" s="6" t="str">
        <f t="shared" si="25"/>
        <v/>
      </c>
    </row>
    <row r="784" spans="4:7" x14ac:dyDescent="0.2">
      <c r="D784" s="31" t="str">
        <f>IF(LEN(TRIM(A784))=0,"",COUNTIFS(Students!E:E, A784))</f>
        <v/>
      </c>
      <c r="E784" s="31" t="str">
        <f>IF(LEN(TRIM(A784))=0,"",COUNTIFS(Students!E:E, A784, Students!D:D, "&gt;=0"))</f>
        <v/>
      </c>
      <c r="F784" s="31" t="str">
        <f t="shared" si="24"/>
        <v/>
      </c>
      <c r="G784" s="6" t="str">
        <f t="shared" si="25"/>
        <v/>
      </c>
    </row>
    <row r="785" spans="4:7" x14ac:dyDescent="0.2">
      <c r="D785" s="31" t="str">
        <f>IF(LEN(TRIM(A785))=0,"",COUNTIFS(Students!E:E, A785))</f>
        <v/>
      </c>
      <c r="E785" s="31" t="str">
        <f>IF(LEN(TRIM(A785))=0,"",COUNTIFS(Students!E:E, A785, Students!D:D, "&gt;=0"))</f>
        <v/>
      </c>
      <c r="F785" s="31" t="str">
        <f t="shared" si="24"/>
        <v/>
      </c>
      <c r="G785" s="6" t="str">
        <f t="shared" si="25"/>
        <v/>
      </c>
    </row>
    <row r="786" spans="4:7" x14ac:dyDescent="0.2">
      <c r="D786" s="31" t="str">
        <f>IF(LEN(TRIM(A786))=0,"",COUNTIFS(Students!E:E, A786))</f>
        <v/>
      </c>
      <c r="E786" s="31" t="str">
        <f>IF(LEN(TRIM(A786))=0,"",COUNTIFS(Students!E:E, A786, Students!D:D, "&gt;=0"))</f>
        <v/>
      </c>
      <c r="F786" s="31" t="str">
        <f t="shared" si="24"/>
        <v/>
      </c>
      <c r="G786" s="6" t="str">
        <f t="shared" si="25"/>
        <v/>
      </c>
    </row>
    <row r="787" spans="4:7" x14ac:dyDescent="0.2">
      <c r="D787" s="31" t="str">
        <f>IF(LEN(TRIM(A787))=0,"",COUNTIFS(Students!E:E, A787))</f>
        <v/>
      </c>
      <c r="E787" s="31" t="str">
        <f>IF(LEN(TRIM(A787))=0,"",COUNTIFS(Students!E:E, A787, Students!D:D, "&gt;=0"))</f>
        <v/>
      </c>
      <c r="F787" s="31" t="str">
        <f t="shared" si="24"/>
        <v/>
      </c>
      <c r="G787" s="6" t="str">
        <f t="shared" si="25"/>
        <v/>
      </c>
    </row>
    <row r="788" spans="4:7" x14ac:dyDescent="0.2">
      <c r="D788" s="31" t="str">
        <f>IF(LEN(TRIM(A788))=0,"",COUNTIFS(Students!E:E, A788))</f>
        <v/>
      </c>
      <c r="E788" s="31" t="str">
        <f>IF(LEN(TRIM(A788))=0,"",COUNTIFS(Students!E:E, A788, Students!D:D, "&gt;=0"))</f>
        <v/>
      </c>
      <c r="F788" s="31" t="str">
        <f t="shared" si="24"/>
        <v/>
      </c>
      <c r="G788" s="6" t="str">
        <f t="shared" si="25"/>
        <v/>
      </c>
    </row>
    <row r="789" spans="4:7" x14ac:dyDescent="0.2">
      <c r="D789" s="31" t="str">
        <f>IF(LEN(TRIM(A789))=0,"",COUNTIFS(Students!E:E, A789))</f>
        <v/>
      </c>
      <c r="E789" s="31" t="str">
        <f>IF(LEN(TRIM(A789))=0,"",COUNTIFS(Students!E:E, A789, Students!D:D, "&gt;=0"))</f>
        <v/>
      </c>
      <c r="F789" s="31" t="str">
        <f t="shared" si="24"/>
        <v/>
      </c>
      <c r="G789" s="6" t="str">
        <f t="shared" si="25"/>
        <v/>
      </c>
    </row>
    <row r="790" spans="4:7" x14ac:dyDescent="0.2">
      <c r="D790" s="31" t="str">
        <f>IF(LEN(TRIM(A790))=0,"",COUNTIFS(Students!E:E, A790))</f>
        <v/>
      </c>
      <c r="E790" s="31" t="str">
        <f>IF(LEN(TRIM(A790))=0,"",COUNTIFS(Students!E:E, A790, Students!D:D, "&gt;=0"))</f>
        <v/>
      </c>
      <c r="F790" s="31" t="str">
        <f t="shared" si="24"/>
        <v/>
      </c>
      <c r="G790" s="6" t="str">
        <f t="shared" si="25"/>
        <v/>
      </c>
    </row>
    <row r="791" spans="4:7" x14ac:dyDescent="0.2">
      <c r="D791" s="31" t="str">
        <f>IF(LEN(TRIM(A791))=0,"",COUNTIFS(Students!E:E, A791))</f>
        <v/>
      </c>
      <c r="E791" s="31" t="str">
        <f>IF(LEN(TRIM(A791))=0,"",COUNTIFS(Students!E:E, A791, Students!D:D, "&gt;=0"))</f>
        <v/>
      </c>
      <c r="F791" s="31" t="str">
        <f t="shared" si="24"/>
        <v/>
      </c>
      <c r="G791" s="6" t="str">
        <f t="shared" si="25"/>
        <v/>
      </c>
    </row>
    <row r="792" spans="4:7" x14ac:dyDescent="0.2">
      <c r="D792" s="31" t="str">
        <f>IF(LEN(TRIM(A792))=0,"",COUNTIFS(Students!E:E, A792))</f>
        <v/>
      </c>
      <c r="E792" s="31" t="str">
        <f>IF(LEN(TRIM(A792))=0,"",COUNTIFS(Students!E:E, A792, Students!D:D, "&gt;=0"))</f>
        <v/>
      </c>
      <c r="F792" s="31" t="str">
        <f t="shared" si="24"/>
        <v/>
      </c>
      <c r="G792" s="6" t="str">
        <f t="shared" si="25"/>
        <v/>
      </c>
    </row>
    <row r="793" spans="4:7" x14ac:dyDescent="0.2">
      <c r="D793" s="31" t="str">
        <f>IF(LEN(TRIM(A793))=0,"",COUNTIFS(Students!E:E, A793))</f>
        <v/>
      </c>
      <c r="E793" s="31" t="str">
        <f>IF(LEN(TRIM(A793))=0,"",COUNTIFS(Students!E:E, A793, Students!D:D, "&gt;=0"))</f>
        <v/>
      </c>
      <c r="F793" s="31" t="str">
        <f t="shared" si="24"/>
        <v/>
      </c>
      <c r="G793" s="6" t="str">
        <f t="shared" si="25"/>
        <v/>
      </c>
    </row>
    <row r="794" spans="4:7" x14ac:dyDescent="0.2">
      <c r="D794" s="31" t="str">
        <f>IF(LEN(TRIM(A794))=0,"",COUNTIFS(Students!E:E, A794))</f>
        <v/>
      </c>
      <c r="E794" s="31" t="str">
        <f>IF(LEN(TRIM(A794))=0,"",COUNTIFS(Students!E:E, A794, Students!D:D, "&gt;=0"))</f>
        <v/>
      </c>
      <c r="F794" s="31" t="str">
        <f t="shared" si="24"/>
        <v/>
      </c>
      <c r="G794" s="6" t="str">
        <f t="shared" si="25"/>
        <v/>
      </c>
    </row>
    <row r="795" spans="4:7" x14ac:dyDescent="0.2">
      <c r="D795" s="31" t="str">
        <f>IF(LEN(TRIM(A795))=0,"",COUNTIFS(Students!E:E, A795))</f>
        <v/>
      </c>
      <c r="E795" s="31" t="str">
        <f>IF(LEN(TRIM(A795))=0,"",COUNTIFS(Students!E:E, A795, Students!D:D, "&gt;=0"))</f>
        <v/>
      </c>
      <c r="F795" s="31" t="str">
        <f t="shared" si="24"/>
        <v/>
      </c>
      <c r="G795" s="6" t="str">
        <f t="shared" si="25"/>
        <v/>
      </c>
    </row>
    <row r="796" spans="4:7" x14ac:dyDescent="0.2">
      <c r="D796" s="31" t="str">
        <f>IF(LEN(TRIM(A796))=0,"",COUNTIFS(Students!E:E, A796))</f>
        <v/>
      </c>
      <c r="E796" s="31" t="str">
        <f>IF(LEN(TRIM(A796))=0,"",COUNTIFS(Students!E:E, A796, Students!D:D, "&gt;=0"))</f>
        <v/>
      </c>
      <c r="F796" s="31" t="str">
        <f t="shared" si="24"/>
        <v/>
      </c>
      <c r="G796" s="6" t="str">
        <f t="shared" si="25"/>
        <v/>
      </c>
    </row>
    <row r="797" spans="4:7" x14ac:dyDescent="0.2">
      <c r="D797" s="31" t="str">
        <f>IF(LEN(TRIM(A797))=0,"",COUNTIFS(Students!E:E, A797))</f>
        <v/>
      </c>
      <c r="E797" s="31" t="str">
        <f>IF(LEN(TRIM(A797))=0,"",COUNTIFS(Students!E:E, A797, Students!D:D, "&gt;=0"))</f>
        <v/>
      </c>
      <c r="F797" s="31" t="str">
        <f t="shared" si="24"/>
        <v/>
      </c>
      <c r="G797" s="6" t="str">
        <f t="shared" si="25"/>
        <v/>
      </c>
    </row>
    <row r="798" spans="4:7" x14ac:dyDescent="0.2">
      <c r="D798" s="31" t="str">
        <f>IF(LEN(TRIM(A798))=0,"",COUNTIFS(Students!E:E, A798))</f>
        <v/>
      </c>
      <c r="E798" s="31" t="str">
        <f>IF(LEN(TRIM(A798))=0,"",COUNTIFS(Students!E:E, A798, Students!D:D, "&gt;=0"))</f>
        <v/>
      </c>
      <c r="F798" s="31" t="str">
        <f t="shared" si="24"/>
        <v/>
      </c>
      <c r="G798" s="6" t="str">
        <f t="shared" si="25"/>
        <v/>
      </c>
    </row>
    <row r="799" spans="4:7" x14ac:dyDescent="0.2">
      <c r="D799" s="31" t="str">
        <f>IF(LEN(TRIM(A799))=0,"",COUNTIFS(Students!E:E, A799))</f>
        <v/>
      </c>
      <c r="E799" s="31" t="str">
        <f>IF(LEN(TRIM(A799))=0,"",COUNTIFS(Students!E:E, A799, Students!D:D, "&gt;=0"))</f>
        <v/>
      </c>
      <c r="F799" s="31" t="str">
        <f t="shared" si="24"/>
        <v/>
      </c>
      <c r="G799" s="6" t="str">
        <f t="shared" si="25"/>
        <v/>
      </c>
    </row>
    <row r="800" spans="4:7" x14ac:dyDescent="0.2">
      <c r="D800" s="31" t="str">
        <f>IF(LEN(TRIM(A800))=0,"",COUNTIFS(Students!E:E, A800))</f>
        <v/>
      </c>
      <c r="E800" s="31" t="str">
        <f>IF(LEN(TRIM(A800))=0,"",COUNTIFS(Students!E:E, A800, Students!D:D, "&gt;=0"))</f>
        <v/>
      </c>
      <c r="F800" s="31" t="str">
        <f t="shared" si="24"/>
        <v/>
      </c>
      <c r="G800" s="6" t="str">
        <f t="shared" si="25"/>
        <v/>
      </c>
    </row>
    <row r="801" spans="4:7" x14ac:dyDescent="0.2">
      <c r="D801" s="31" t="str">
        <f>IF(LEN(TRIM(A801))=0,"",COUNTIFS(Students!E:E, A801))</f>
        <v/>
      </c>
      <c r="E801" s="31" t="str">
        <f>IF(LEN(TRIM(A801))=0,"",COUNTIFS(Students!E:E, A801, Students!D:D, "&gt;=0"))</f>
        <v/>
      </c>
      <c r="F801" s="31" t="str">
        <f t="shared" si="24"/>
        <v/>
      </c>
      <c r="G801" s="6" t="str">
        <f t="shared" si="25"/>
        <v/>
      </c>
    </row>
    <row r="802" spans="4:7" x14ac:dyDescent="0.2">
      <c r="D802" s="31" t="str">
        <f>IF(LEN(TRIM(A802))=0,"",COUNTIFS(Students!E:E, A802))</f>
        <v/>
      </c>
      <c r="E802" s="31" t="str">
        <f>IF(LEN(TRIM(A802))=0,"",COUNTIFS(Students!E:E, A802, Students!D:D, "&gt;=0"))</f>
        <v/>
      </c>
      <c r="F802" s="31" t="str">
        <f t="shared" si="24"/>
        <v/>
      </c>
      <c r="G802" s="6" t="str">
        <f t="shared" si="25"/>
        <v/>
      </c>
    </row>
    <row r="803" spans="4:7" x14ac:dyDescent="0.2">
      <c r="D803" s="31" t="str">
        <f>IF(LEN(TRIM(A803))=0,"",COUNTIFS(Students!E:E, A803))</f>
        <v/>
      </c>
      <c r="E803" s="31" t="str">
        <f>IF(LEN(TRIM(A803))=0,"",COUNTIFS(Students!E:E, A803, Students!D:D, "&gt;=0"))</f>
        <v/>
      </c>
      <c r="F803" s="31" t="str">
        <f t="shared" si="24"/>
        <v/>
      </c>
      <c r="G803" s="6" t="str">
        <f t="shared" si="25"/>
        <v/>
      </c>
    </row>
    <row r="804" spans="4:7" x14ac:dyDescent="0.2">
      <c r="D804" s="31" t="str">
        <f>IF(LEN(TRIM(A804))=0,"",COUNTIFS(Students!E:E, A804))</f>
        <v/>
      </c>
      <c r="E804" s="31" t="str">
        <f>IF(LEN(TRIM(A804))=0,"",COUNTIFS(Students!E:E, A804, Students!D:D, "&gt;=0"))</f>
        <v/>
      </c>
      <c r="F804" s="31" t="str">
        <f t="shared" si="24"/>
        <v/>
      </c>
      <c r="G804" s="6" t="str">
        <f t="shared" si="25"/>
        <v/>
      </c>
    </row>
    <row r="805" spans="4:7" x14ac:dyDescent="0.2">
      <c r="D805" s="31" t="str">
        <f>IF(LEN(TRIM(A805))=0,"",COUNTIFS(Students!E:E, A805))</f>
        <v/>
      </c>
      <c r="E805" s="31" t="str">
        <f>IF(LEN(TRIM(A805))=0,"",COUNTIFS(Students!E:E, A805, Students!D:D, "&gt;=0"))</f>
        <v/>
      </c>
      <c r="F805" s="31" t="str">
        <f t="shared" si="24"/>
        <v/>
      </c>
      <c r="G805" s="6" t="str">
        <f t="shared" si="25"/>
        <v/>
      </c>
    </row>
    <row r="806" spans="4:7" x14ac:dyDescent="0.2">
      <c r="D806" s="31" t="str">
        <f>IF(LEN(TRIM(A806))=0,"",COUNTIFS(Students!E:E, A806))</f>
        <v/>
      </c>
      <c r="E806" s="31" t="str">
        <f>IF(LEN(TRIM(A806))=0,"",COUNTIFS(Students!E:E, A806, Students!D:D, "&gt;=0"))</f>
        <v/>
      </c>
      <c r="F806" s="31" t="str">
        <f t="shared" si="24"/>
        <v/>
      </c>
      <c r="G806" s="6" t="str">
        <f t="shared" si="25"/>
        <v/>
      </c>
    </row>
    <row r="807" spans="4:7" x14ac:dyDescent="0.2">
      <c r="D807" s="31" t="str">
        <f>IF(LEN(TRIM(A807))=0,"",COUNTIFS(Students!E:E, A807))</f>
        <v/>
      </c>
      <c r="E807" s="31" t="str">
        <f>IF(LEN(TRIM(A807))=0,"",COUNTIFS(Students!E:E, A807, Students!D:D, "&gt;=0"))</f>
        <v/>
      </c>
      <c r="F807" s="31" t="str">
        <f t="shared" si="24"/>
        <v/>
      </c>
      <c r="G807" s="6" t="str">
        <f t="shared" si="25"/>
        <v/>
      </c>
    </row>
    <row r="808" spans="4:7" x14ac:dyDescent="0.2">
      <c r="D808" s="31" t="str">
        <f>IF(LEN(TRIM(A808))=0,"",COUNTIFS(Students!E:E, A808))</f>
        <v/>
      </c>
      <c r="E808" s="31" t="str">
        <f>IF(LEN(TRIM(A808))=0,"",COUNTIFS(Students!E:E, A808, Students!D:D, "&gt;=0"))</f>
        <v/>
      </c>
      <c r="F808" s="31" t="str">
        <f t="shared" si="24"/>
        <v/>
      </c>
      <c r="G808" s="6" t="str">
        <f t="shared" si="25"/>
        <v/>
      </c>
    </row>
    <row r="809" spans="4:7" x14ac:dyDescent="0.2">
      <c r="D809" s="31" t="str">
        <f>IF(LEN(TRIM(A809))=0,"",COUNTIFS(Students!E:E, A809))</f>
        <v/>
      </c>
      <c r="E809" s="31" t="str">
        <f>IF(LEN(TRIM(A809))=0,"",COUNTIFS(Students!E:E, A809, Students!D:D, "&gt;=0"))</f>
        <v/>
      </c>
      <c r="F809" s="31" t="str">
        <f t="shared" si="24"/>
        <v/>
      </c>
      <c r="G809" s="6" t="str">
        <f t="shared" si="25"/>
        <v/>
      </c>
    </row>
    <row r="810" spans="4:7" x14ac:dyDescent="0.2">
      <c r="D810" s="31" t="str">
        <f>IF(LEN(TRIM(A810))=0,"",COUNTIFS(Students!E:E, A810))</f>
        <v/>
      </c>
      <c r="E810" s="31" t="str">
        <f>IF(LEN(TRIM(A810))=0,"",COUNTIFS(Students!E:E, A810, Students!D:D, "&gt;=0"))</f>
        <v/>
      </c>
      <c r="F810" s="31" t="str">
        <f t="shared" si="24"/>
        <v/>
      </c>
      <c r="G810" s="6" t="str">
        <f t="shared" si="25"/>
        <v/>
      </c>
    </row>
    <row r="811" spans="4:7" x14ac:dyDescent="0.2">
      <c r="D811" s="31" t="str">
        <f>IF(LEN(TRIM(A811))=0,"",COUNTIFS(Students!E:E, A811))</f>
        <v/>
      </c>
      <c r="E811" s="31" t="str">
        <f>IF(LEN(TRIM(A811))=0,"",COUNTIFS(Students!E:E, A811, Students!D:D, "&gt;=0"))</f>
        <v/>
      </c>
      <c r="F811" s="31" t="str">
        <f t="shared" si="24"/>
        <v/>
      </c>
      <c r="G811" s="6" t="str">
        <f t="shared" si="25"/>
        <v/>
      </c>
    </row>
    <row r="812" spans="4:7" x14ac:dyDescent="0.2">
      <c r="D812" s="31" t="str">
        <f>IF(LEN(TRIM(A812))=0,"",COUNTIFS(Students!E:E, A812))</f>
        <v/>
      </c>
      <c r="E812" s="31" t="str">
        <f>IF(LEN(TRIM(A812))=0,"",COUNTIFS(Students!E:E, A812, Students!D:D, "&gt;=0"))</f>
        <v/>
      </c>
      <c r="F812" s="31" t="str">
        <f t="shared" si="24"/>
        <v/>
      </c>
      <c r="G812" s="6" t="str">
        <f t="shared" si="25"/>
        <v/>
      </c>
    </row>
    <row r="813" spans="4:7" x14ac:dyDescent="0.2">
      <c r="D813" s="31" t="str">
        <f>IF(LEN(TRIM(A813))=0,"",COUNTIFS(Students!E:E, A813))</f>
        <v/>
      </c>
      <c r="E813" s="31" t="str">
        <f>IF(LEN(TRIM(A813))=0,"",COUNTIFS(Students!E:E, A813, Students!D:D, "&gt;=0"))</f>
        <v/>
      </c>
      <c r="F813" s="31" t="str">
        <f t="shared" si="24"/>
        <v/>
      </c>
      <c r="G813" s="6" t="str">
        <f t="shared" si="25"/>
        <v/>
      </c>
    </row>
    <row r="814" spans="4:7" x14ac:dyDescent="0.2">
      <c r="D814" s="31" t="str">
        <f>IF(LEN(TRIM(A814))=0,"",COUNTIFS(Students!E:E, A814))</f>
        <v/>
      </c>
      <c r="E814" s="31" t="str">
        <f>IF(LEN(TRIM(A814))=0,"",COUNTIFS(Students!E:E, A814, Students!D:D, "&gt;=0"))</f>
        <v/>
      </c>
      <c r="F814" s="31" t="str">
        <f t="shared" si="24"/>
        <v/>
      </c>
      <c r="G814" s="6" t="str">
        <f t="shared" si="25"/>
        <v/>
      </c>
    </row>
    <row r="815" spans="4:7" x14ac:dyDescent="0.2">
      <c r="D815" s="31" t="str">
        <f>IF(LEN(TRIM(A815))=0,"",COUNTIFS(Students!E:E, A815))</f>
        <v/>
      </c>
      <c r="E815" s="31" t="str">
        <f>IF(LEN(TRIM(A815))=0,"",COUNTIFS(Students!E:E, A815, Students!D:D, "&gt;=0"))</f>
        <v/>
      </c>
      <c r="F815" s="31" t="str">
        <f t="shared" si="24"/>
        <v/>
      </c>
      <c r="G815" s="6" t="str">
        <f t="shared" si="25"/>
        <v/>
      </c>
    </row>
    <row r="816" spans="4:7" x14ac:dyDescent="0.2">
      <c r="D816" s="31" t="str">
        <f>IF(LEN(TRIM(A816))=0,"",COUNTIFS(Students!E:E, A816))</f>
        <v/>
      </c>
      <c r="E816" s="31" t="str">
        <f>IF(LEN(TRIM(A816))=0,"",COUNTIFS(Students!E:E, A816, Students!D:D, "&gt;=0"))</f>
        <v/>
      </c>
      <c r="F816" s="31" t="str">
        <f t="shared" si="24"/>
        <v/>
      </c>
      <c r="G816" s="6" t="str">
        <f t="shared" si="25"/>
        <v/>
      </c>
    </row>
    <row r="817" spans="4:7" x14ac:dyDescent="0.2">
      <c r="D817" s="31" t="str">
        <f>IF(LEN(TRIM(A817))=0,"",COUNTIFS(Students!E:E, A817))</f>
        <v/>
      </c>
      <c r="E817" s="31" t="str">
        <f>IF(LEN(TRIM(A817))=0,"",COUNTIFS(Students!E:E, A817, Students!D:D, "&gt;=0"))</f>
        <v/>
      </c>
      <c r="F817" s="31" t="str">
        <f t="shared" si="24"/>
        <v/>
      </c>
      <c r="G817" s="6" t="str">
        <f t="shared" si="25"/>
        <v/>
      </c>
    </row>
    <row r="818" spans="4:7" x14ac:dyDescent="0.2">
      <c r="D818" s="31" t="str">
        <f>IF(LEN(TRIM(A818))=0,"",COUNTIFS(Students!E:E, A818))</f>
        <v/>
      </c>
      <c r="E818" s="31" t="str">
        <f>IF(LEN(TRIM(A818))=0,"",COUNTIFS(Students!E:E, A818, Students!D:D, "&gt;=0"))</f>
        <v/>
      </c>
      <c r="F818" s="31" t="str">
        <f t="shared" si="24"/>
        <v/>
      </c>
      <c r="G818" s="6" t="str">
        <f t="shared" si="25"/>
        <v/>
      </c>
    </row>
    <row r="819" spans="4:7" x14ac:dyDescent="0.2">
      <c r="D819" s="31" t="str">
        <f>IF(LEN(TRIM(A819))=0,"",COUNTIFS(Students!E:E, A819))</f>
        <v/>
      </c>
      <c r="E819" s="31" t="str">
        <f>IF(LEN(TRIM(A819))=0,"",COUNTIFS(Students!E:E, A819, Students!D:D, "&gt;=0"))</f>
        <v/>
      </c>
      <c r="F819" s="31" t="str">
        <f t="shared" si="24"/>
        <v/>
      </c>
      <c r="G819" s="6" t="str">
        <f t="shared" si="25"/>
        <v/>
      </c>
    </row>
    <row r="820" spans="4:7" x14ac:dyDescent="0.2">
      <c r="D820" s="31" t="str">
        <f>IF(LEN(TRIM(A820))=0,"",COUNTIFS(Students!E:E, A820))</f>
        <v/>
      </c>
      <c r="E820" s="31" t="str">
        <f>IF(LEN(TRIM(A820))=0,"",COUNTIFS(Students!E:E, A820, Students!D:D, "&gt;=0"))</f>
        <v/>
      </c>
      <c r="F820" s="31" t="str">
        <f t="shared" si="24"/>
        <v/>
      </c>
      <c r="G820" s="6" t="str">
        <f t="shared" si="25"/>
        <v/>
      </c>
    </row>
    <row r="821" spans="4:7" x14ac:dyDescent="0.2">
      <c r="D821" s="31" t="str">
        <f>IF(LEN(TRIM(A821))=0,"",COUNTIFS(Students!E:E, A821))</f>
        <v/>
      </c>
      <c r="E821" s="31" t="str">
        <f>IF(LEN(TRIM(A821))=0,"",COUNTIFS(Students!E:E, A821, Students!D:D, "&gt;=0"))</f>
        <v/>
      </c>
      <c r="F821" s="31" t="str">
        <f t="shared" si="24"/>
        <v/>
      </c>
      <c r="G821" s="6" t="str">
        <f t="shared" si="25"/>
        <v/>
      </c>
    </row>
    <row r="822" spans="4:7" x14ac:dyDescent="0.2">
      <c r="D822" s="31" t="str">
        <f>IF(LEN(TRIM(A822))=0,"",COUNTIFS(Students!E:E, A822))</f>
        <v/>
      </c>
      <c r="E822" s="31" t="str">
        <f>IF(LEN(TRIM(A822))=0,"",COUNTIFS(Students!E:E, A822, Students!D:D, "&gt;=0"))</f>
        <v/>
      </c>
      <c r="F822" s="31" t="str">
        <f t="shared" si="24"/>
        <v/>
      </c>
      <c r="G822" s="6" t="str">
        <f t="shared" si="25"/>
        <v/>
      </c>
    </row>
    <row r="823" spans="4:7" x14ac:dyDescent="0.2">
      <c r="D823" s="31" t="str">
        <f>IF(LEN(TRIM(A823))=0,"",COUNTIFS(Students!E:E, A823))</f>
        <v/>
      </c>
      <c r="E823" s="31" t="str">
        <f>IF(LEN(TRIM(A823))=0,"",COUNTIFS(Students!E:E, A823, Students!D:D, "&gt;=0"))</f>
        <v/>
      </c>
      <c r="F823" s="31" t="str">
        <f t="shared" si="24"/>
        <v/>
      </c>
      <c r="G823" s="6" t="str">
        <f t="shared" si="25"/>
        <v/>
      </c>
    </row>
    <row r="824" spans="4:7" x14ac:dyDescent="0.2">
      <c r="D824" s="31" t="str">
        <f>IF(LEN(TRIM(A824))=0,"",COUNTIFS(Students!E:E, A824))</f>
        <v/>
      </c>
      <c r="E824" s="31" t="str">
        <f>IF(LEN(TRIM(A824))=0,"",COUNTIFS(Students!E:E, A824, Students!D:D, "&gt;=0"))</f>
        <v/>
      </c>
      <c r="F824" s="31" t="str">
        <f t="shared" si="24"/>
        <v/>
      </c>
      <c r="G824" s="6" t="str">
        <f t="shared" si="25"/>
        <v/>
      </c>
    </row>
    <row r="825" spans="4:7" x14ac:dyDescent="0.2">
      <c r="D825" s="31" t="str">
        <f>IF(LEN(TRIM(A825))=0,"",COUNTIFS(Students!E:E, A825))</f>
        <v/>
      </c>
      <c r="E825" s="31" t="str">
        <f>IF(LEN(TRIM(A825))=0,"",COUNTIFS(Students!E:E, A825, Students!D:D, "&gt;=0"))</f>
        <v/>
      </c>
      <c r="F825" s="31" t="str">
        <f t="shared" si="24"/>
        <v/>
      </c>
      <c r="G825" s="6" t="str">
        <f t="shared" si="25"/>
        <v/>
      </c>
    </row>
    <row r="826" spans="4:7" x14ac:dyDescent="0.2">
      <c r="D826" s="31" t="str">
        <f>IF(LEN(TRIM(A826))=0,"",COUNTIFS(Students!E:E, A826))</f>
        <v/>
      </c>
      <c r="E826" s="31" t="str">
        <f>IF(LEN(TRIM(A826))=0,"",COUNTIFS(Students!E:E, A826, Students!D:D, "&gt;=0"))</f>
        <v/>
      </c>
      <c r="F826" s="31" t="str">
        <f t="shared" si="24"/>
        <v/>
      </c>
      <c r="G826" s="6" t="str">
        <f t="shared" si="25"/>
        <v/>
      </c>
    </row>
    <row r="827" spans="4:7" x14ac:dyDescent="0.2">
      <c r="D827" s="31" t="str">
        <f>IF(LEN(TRIM(A827))=0,"",COUNTIFS(Students!E:E, A827))</f>
        <v/>
      </c>
      <c r="E827" s="31" t="str">
        <f>IF(LEN(TRIM(A827))=0,"",COUNTIFS(Students!E:E, A827, Students!D:D, "&gt;=0"))</f>
        <v/>
      </c>
      <c r="F827" s="31" t="str">
        <f t="shared" si="24"/>
        <v/>
      </c>
      <c r="G827" s="6" t="str">
        <f t="shared" si="25"/>
        <v/>
      </c>
    </row>
    <row r="828" spans="4:7" x14ac:dyDescent="0.2">
      <c r="D828" s="31" t="str">
        <f>IF(LEN(TRIM(A828))=0,"",COUNTIFS(Students!E:E, A828))</f>
        <v/>
      </c>
      <c r="E828" s="31" t="str">
        <f>IF(LEN(TRIM(A828))=0,"",COUNTIFS(Students!E:E, A828, Students!D:D, "&gt;=0"))</f>
        <v/>
      </c>
      <c r="F828" s="31" t="str">
        <f t="shared" si="24"/>
        <v/>
      </c>
      <c r="G828" s="6" t="str">
        <f t="shared" si="25"/>
        <v/>
      </c>
    </row>
    <row r="829" spans="4:7" x14ac:dyDescent="0.2">
      <c r="D829" s="31" t="str">
        <f>IF(LEN(TRIM(A829))=0,"",COUNTIFS(Students!E:E, A829))</f>
        <v/>
      </c>
      <c r="E829" s="31" t="str">
        <f>IF(LEN(TRIM(A829))=0,"",COUNTIFS(Students!E:E, A829, Students!D:D, "&gt;=0"))</f>
        <v/>
      </c>
      <c r="F829" s="31" t="str">
        <f t="shared" si="24"/>
        <v/>
      </c>
      <c r="G829" s="6" t="str">
        <f t="shared" si="25"/>
        <v/>
      </c>
    </row>
    <row r="830" spans="4:7" x14ac:dyDescent="0.2">
      <c r="D830" s="31" t="str">
        <f>IF(LEN(TRIM(A830))=0,"",COUNTIFS(Students!E:E, A830))</f>
        <v/>
      </c>
      <c r="E830" s="31" t="str">
        <f>IF(LEN(TRIM(A830))=0,"",COUNTIFS(Students!E:E, A830, Students!D:D, "&gt;=0"))</f>
        <v/>
      </c>
      <c r="F830" s="31" t="str">
        <f t="shared" si="24"/>
        <v/>
      </c>
      <c r="G830" s="6" t="str">
        <f t="shared" si="25"/>
        <v/>
      </c>
    </row>
    <row r="831" spans="4:7" x14ac:dyDescent="0.2">
      <c r="D831" s="31" t="str">
        <f>IF(LEN(TRIM(A831))=0,"",COUNTIFS(Students!E:E, A831))</f>
        <v/>
      </c>
      <c r="E831" s="31" t="str">
        <f>IF(LEN(TRIM(A831))=0,"",COUNTIFS(Students!E:E, A831, Students!D:D, "&gt;=0"))</f>
        <v/>
      </c>
      <c r="F831" s="31" t="str">
        <f t="shared" si="24"/>
        <v/>
      </c>
      <c r="G831" s="6" t="str">
        <f t="shared" si="25"/>
        <v/>
      </c>
    </row>
    <row r="832" spans="4:7" x14ac:dyDescent="0.2">
      <c r="D832" s="31" t="str">
        <f>IF(LEN(TRIM(A832))=0,"",COUNTIFS(Students!E:E, A832))</f>
        <v/>
      </c>
      <c r="E832" s="31" t="str">
        <f>IF(LEN(TRIM(A832))=0,"",COUNTIFS(Students!E:E, A832, Students!D:D, "&gt;=0"))</f>
        <v/>
      </c>
      <c r="F832" s="31" t="str">
        <f t="shared" si="24"/>
        <v/>
      </c>
      <c r="G832" s="6" t="str">
        <f t="shared" si="25"/>
        <v/>
      </c>
    </row>
    <row r="833" spans="4:7" x14ac:dyDescent="0.2">
      <c r="D833" s="31" t="str">
        <f>IF(LEN(TRIM(A833))=0,"",COUNTIFS(Students!E:E, A833))</f>
        <v/>
      </c>
      <c r="E833" s="31" t="str">
        <f>IF(LEN(TRIM(A833))=0,"",COUNTIFS(Students!E:E, A833, Students!D:D, "&gt;=0"))</f>
        <v/>
      </c>
      <c r="F833" s="31" t="str">
        <f t="shared" si="24"/>
        <v/>
      </c>
      <c r="G833" s="6" t="str">
        <f t="shared" si="25"/>
        <v/>
      </c>
    </row>
    <row r="834" spans="4:7" x14ac:dyDescent="0.2">
      <c r="D834" s="31" t="str">
        <f>IF(LEN(TRIM(A834))=0,"",COUNTIFS(Students!E:E, A834))</f>
        <v/>
      </c>
      <c r="E834" s="31" t="str">
        <f>IF(LEN(TRIM(A834))=0,"",COUNTIFS(Students!E:E, A834, Students!D:D, "&gt;=0"))</f>
        <v/>
      </c>
      <c r="F834" s="31" t="str">
        <f t="shared" si="24"/>
        <v/>
      </c>
      <c r="G834" s="6" t="str">
        <f t="shared" si="25"/>
        <v/>
      </c>
    </row>
    <row r="835" spans="4:7" x14ac:dyDescent="0.2">
      <c r="D835" s="31" t="str">
        <f>IF(LEN(TRIM(A835))=0,"",COUNTIFS(Students!E:E, A835))</f>
        <v/>
      </c>
      <c r="E835" s="31" t="str">
        <f>IF(LEN(TRIM(A835))=0,"",COUNTIFS(Students!E:E, A835, Students!D:D, "&gt;=0"))</f>
        <v/>
      </c>
      <c r="F835" s="31" t="str">
        <f t="shared" ref="F835:F898" si="26">IFERROR(D835-E835,"")</f>
        <v/>
      </c>
      <c r="G835" s="6" t="str">
        <f t="shared" ref="G835:G898" si="27">IFERROR(IF(D835=0, "N/A", E835/D835),"")</f>
        <v/>
      </c>
    </row>
    <row r="836" spans="4:7" x14ac:dyDescent="0.2">
      <c r="D836" s="31" t="str">
        <f>IF(LEN(TRIM(A836))=0,"",COUNTIFS(Students!E:E, A836))</f>
        <v/>
      </c>
      <c r="E836" s="31" t="str">
        <f>IF(LEN(TRIM(A836))=0,"",COUNTIFS(Students!E:E, A836, Students!D:D, "&gt;=0"))</f>
        <v/>
      </c>
      <c r="F836" s="31" t="str">
        <f t="shared" si="26"/>
        <v/>
      </c>
      <c r="G836" s="6" t="str">
        <f t="shared" si="27"/>
        <v/>
      </c>
    </row>
    <row r="837" spans="4:7" x14ac:dyDescent="0.2">
      <c r="D837" s="31" t="str">
        <f>IF(LEN(TRIM(A837))=0,"",COUNTIFS(Students!E:E, A837))</f>
        <v/>
      </c>
      <c r="E837" s="31" t="str">
        <f>IF(LEN(TRIM(A837))=0,"",COUNTIFS(Students!E:E, A837, Students!D:D, "&gt;=0"))</f>
        <v/>
      </c>
      <c r="F837" s="31" t="str">
        <f t="shared" si="26"/>
        <v/>
      </c>
      <c r="G837" s="6" t="str">
        <f t="shared" si="27"/>
        <v/>
      </c>
    </row>
    <row r="838" spans="4:7" x14ac:dyDescent="0.2">
      <c r="D838" s="31" t="str">
        <f>IF(LEN(TRIM(A838))=0,"",COUNTIFS(Students!E:E, A838))</f>
        <v/>
      </c>
      <c r="E838" s="31" t="str">
        <f>IF(LEN(TRIM(A838))=0,"",COUNTIFS(Students!E:E, A838, Students!D:D, "&gt;=0"))</f>
        <v/>
      </c>
      <c r="F838" s="31" t="str">
        <f t="shared" si="26"/>
        <v/>
      </c>
      <c r="G838" s="6" t="str">
        <f t="shared" si="27"/>
        <v/>
      </c>
    </row>
    <row r="839" spans="4:7" x14ac:dyDescent="0.2">
      <c r="D839" s="31" t="str">
        <f>IF(LEN(TRIM(A839))=0,"",COUNTIFS(Students!E:E, A839))</f>
        <v/>
      </c>
      <c r="E839" s="31" t="str">
        <f>IF(LEN(TRIM(A839))=0,"",COUNTIFS(Students!E:E, A839, Students!D:D, "&gt;=0"))</f>
        <v/>
      </c>
      <c r="F839" s="31" t="str">
        <f t="shared" si="26"/>
        <v/>
      </c>
      <c r="G839" s="6" t="str">
        <f t="shared" si="27"/>
        <v/>
      </c>
    </row>
    <row r="840" spans="4:7" x14ac:dyDescent="0.2">
      <c r="D840" s="31" t="str">
        <f>IF(LEN(TRIM(A840))=0,"",COUNTIFS(Students!E:E, A840))</f>
        <v/>
      </c>
      <c r="E840" s="31" t="str">
        <f>IF(LEN(TRIM(A840))=0,"",COUNTIFS(Students!E:E, A840, Students!D:D, "&gt;=0"))</f>
        <v/>
      </c>
      <c r="F840" s="31" t="str">
        <f t="shared" si="26"/>
        <v/>
      </c>
      <c r="G840" s="6" t="str">
        <f t="shared" si="27"/>
        <v/>
      </c>
    </row>
    <row r="841" spans="4:7" x14ac:dyDescent="0.2">
      <c r="D841" s="31" t="str">
        <f>IF(LEN(TRIM(A841))=0,"",COUNTIFS(Students!E:E, A841))</f>
        <v/>
      </c>
      <c r="E841" s="31" t="str">
        <f>IF(LEN(TRIM(A841))=0,"",COUNTIFS(Students!E:E, A841, Students!D:D, "&gt;=0"))</f>
        <v/>
      </c>
      <c r="F841" s="31" t="str">
        <f t="shared" si="26"/>
        <v/>
      </c>
      <c r="G841" s="6" t="str">
        <f t="shared" si="27"/>
        <v/>
      </c>
    </row>
    <row r="842" spans="4:7" x14ac:dyDescent="0.2">
      <c r="D842" s="31" t="str">
        <f>IF(LEN(TRIM(A842))=0,"",COUNTIFS(Students!E:E, A842))</f>
        <v/>
      </c>
      <c r="E842" s="31" t="str">
        <f>IF(LEN(TRIM(A842))=0,"",COUNTIFS(Students!E:E, A842, Students!D:D, "&gt;=0"))</f>
        <v/>
      </c>
      <c r="F842" s="31" t="str">
        <f t="shared" si="26"/>
        <v/>
      </c>
      <c r="G842" s="6" t="str">
        <f t="shared" si="27"/>
        <v/>
      </c>
    </row>
    <row r="843" spans="4:7" x14ac:dyDescent="0.2">
      <c r="D843" s="31" t="str">
        <f>IF(LEN(TRIM(A843))=0,"",COUNTIFS(Students!E:E, A843))</f>
        <v/>
      </c>
      <c r="E843" s="31" t="str">
        <f>IF(LEN(TRIM(A843))=0,"",COUNTIFS(Students!E:E, A843, Students!D:D, "&gt;=0"))</f>
        <v/>
      </c>
      <c r="F843" s="31" t="str">
        <f t="shared" si="26"/>
        <v/>
      </c>
      <c r="G843" s="6" t="str">
        <f t="shared" si="27"/>
        <v/>
      </c>
    </row>
    <row r="844" spans="4:7" x14ac:dyDescent="0.2">
      <c r="D844" s="31" t="str">
        <f>IF(LEN(TRIM(A844))=0,"",COUNTIFS(Students!E:E, A844))</f>
        <v/>
      </c>
      <c r="E844" s="31" t="str">
        <f>IF(LEN(TRIM(A844))=0,"",COUNTIFS(Students!E:E, A844, Students!D:D, "&gt;=0"))</f>
        <v/>
      </c>
      <c r="F844" s="31" t="str">
        <f t="shared" si="26"/>
        <v/>
      </c>
      <c r="G844" s="6" t="str">
        <f t="shared" si="27"/>
        <v/>
      </c>
    </row>
    <row r="845" spans="4:7" x14ac:dyDescent="0.2">
      <c r="D845" s="31" t="str">
        <f>IF(LEN(TRIM(A845))=0,"",COUNTIFS(Students!E:E, A845))</f>
        <v/>
      </c>
      <c r="E845" s="31" t="str">
        <f>IF(LEN(TRIM(A845))=0,"",COUNTIFS(Students!E:E, A845, Students!D:D, "&gt;=0"))</f>
        <v/>
      </c>
      <c r="F845" s="31" t="str">
        <f t="shared" si="26"/>
        <v/>
      </c>
      <c r="G845" s="6" t="str">
        <f t="shared" si="27"/>
        <v/>
      </c>
    </row>
    <row r="846" spans="4:7" x14ac:dyDescent="0.2">
      <c r="D846" s="31" t="str">
        <f>IF(LEN(TRIM(A846))=0,"",COUNTIFS(Students!E:E, A846))</f>
        <v/>
      </c>
      <c r="E846" s="31" t="str">
        <f>IF(LEN(TRIM(A846))=0,"",COUNTIFS(Students!E:E, A846, Students!D:D, "&gt;=0"))</f>
        <v/>
      </c>
      <c r="F846" s="31" t="str">
        <f t="shared" si="26"/>
        <v/>
      </c>
      <c r="G846" s="6" t="str">
        <f t="shared" si="27"/>
        <v/>
      </c>
    </row>
    <row r="847" spans="4:7" x14ac:dyDescent="0.2">
      <c r="D847" s="31" t="str">
        <f>IF(LEN(TRIM(A847))=0,"",COUNTIFS(Students!E:E, A847))</f>
        <v/>
      </c>
      <c r="E847" s="31" t="str">
        <f>IF(LEN(TRIM(A847))=0,"",COUNTIFS(Students!E:E, A847, Students!D:D, "&gt;=0"))</f>
        <v/>
      </c>
      <c r="F847" s="31" t="str">
        <f t="shared" si="26"/>
        <v/>
      </c>
      <c r="G847" s="6" t="str">
        <f t="shared" si="27"/>
        <v/>
      </c>
    </row>
    <row r="848" spans="4:7" x14ac:dyDescent="0.2">
      <c r="D848" s="31" t="str">
        <f>IF(LEN(TRIM(A848))=0,"",COUNTIFS(Students!E:E, A848))</f>
        <v/>
      </c>
      <c r="E848" s="31" t="str">
        <f>IF(LEN(TRIM(A848))=0,"",COUNTIFS(Students!E:E, A848, Students!D:D, "&gt;=0"))</f>
        <v/>
      </c>
      <c r="F848" s="31" t="str">
        <f t="shared" si="26"/>
        <v/>
      </c>
      <c r="G848" s="6" t="str">
        <f t="shared" si="27"/>
        <v/>
      </c>
    </row>
    <row r="849" spans="4:7" x14ac:dyDescent="0.2">
      <c r="D849" s="31" t="str">
        <f>IF(LEN(TRIM(A849))=0,"",COUNTIFS(Students!E:E, A849))</f>
        <v/>
      </c>
      <c r="E849" s="31" t="str">
        <f>IF(LEN(TRIM(A849))=0,"",COUNTIFS(Students!E:E, A849, Students!D:D, "&gt;=0"))</f>
        <v/>
      </c>
      <c r="F849" s="31" t="str">
        <f t="shared" si="26"/>
        <v/>
      </c>
      <c r="G849" s="6" t="str">
        <f t="shared" si="27"/>
        <v/>
      </c>
    </row>
    <row r="850" spans="4:7" x14ac:dyDescent="0.2">
      <c r="D850" s="31" t="str">
        <f>IF(LEN(TRIM(A850))=0,"",COUNTIFS(Students!E:E, A850))</f>
        <v/>
      </c>
      <c r="E850" s="31" t="str">
        <f>IF(LEN(TRIM(A850))=0,"",COUNTIFS(Students!E:E, A850, Students!D:D, "&gt;=0"))</f>
        <v/>
      </c>
      <c r="F850" s="31" t="str">
        <f t="shared" si="26"/>
        <v/>
      </c>
      <c r="G850" s="6" t="str">
        <f t="shared" si="27"/>
        <v/>
      </c>
    </row>
    <row r="851" spans="4:7" x14ac:dyDescent="0.2">
      <c r="D851" s="31" t="str">
        <f>IF(LEN(TRIM(A851))=0,"",COUNTIFS(Students!E:E, A851))</f>
        <v/>
      </c>
      <c r="E851" s="31" t="str">
        <f>IF(LEN(TRIM(A851))=0,"",COUNTIFS(Students!E:E, A851, Students!D:D, "&gt;=0"))</f>
        <v/>
      </c>
      <c r="F851" s="31" t="str">
        <f t="shared" si="26"/>
        <v/>
      </c>
      <c r="G851" s="6" t="str">
        <f t="shared" si="27"/>
        <v/>
      </c>
    </row>
    <row r="852" spans="4:7" x14ac:dyDescent="0.2">
      <c r="D852" s="31" t="str">
        <f>IF(LEN(TRIM(A852))=0,"",COUNTIFS(Students!E:E, A852))</f>
        <v/>
      </c>
      <c r="E852" s="31" t="str">
        <f>IF(LEN(TRIM(A852))=0,"",COUNTIFS(Students!E:E, A852, Students!D:D, "&gt;=0"))</f>
        <v/>
      </c>
      <c r="F852" s="31" t="str">
        <f t="shared" si="26"/>
        <v/>
      </c>
      <c r="G852" s="6" t="str">
        <f t="shared" si="27"/>
        <v/>
      </c>
    </row>
    <row r="853" spans="4:7" x14ac:dyDescent="0.2">
      <c r="D853" s="31" t="str">
        <f>IF(LEN(TRIM(A853))=0,"",COUNTIFS(Students!E:E, A853))</f>
        <v/>
      </c>
      <c r="E853" s="31" t="str">
        <f>IF(LEN(TRIM(A853))=0,"",COUNTIFS(Students!E:E, A853, Students!D:D, "&gt;=0"))</f>
        <v/>
      </c>
      <c r="F853" s="31" t="str">
        <f t="shared" si="26"/>
        <v/>
      </c>
      <c r="G853" s="6" t="str">
        <f t="shared" si="27"/>
        <v/>
      </c>
    </row>
    <row r="854" spans="4:7" x14ac:dyDescent="0.2">
      <c r="D854" s="31" t="str">
        <f>IF(LEN(TRIM(A854))=0,"",COUNTIFS(Students!E:E, A854))</f>
        <v/>
      </c>
      <c r="E854" s="31" t="str">
        <f>IF(LEN(TRIM(A854))=0,"",COUNTIFS(Students!E:E, A854, Students!D:D, "&gt;=0"))</f>
        <v/>
      </c>
      <c r="F854" s="31" t="str">
        <f t="shared" si="26"/>
        <v/>
      </c>
      <c r="G854" s="6" t="str">
        <f t="shared" si="27"/>
        <v/>
      </c>
    </row>
    <row r="855" spans="4:7" x14ac:dyDescent="0.2">
      <c r="D855" s="31" t="str">
        <f>IF(LEN(TRIM(A855))=0,"",COUNTIFS(Students!E:E, A855))</f>
        <v/>
      </c>
      <c r="E855" s="31" t="str">
        <f>IF(LEN(TRIM(A855))=0,"",COUNTIFS(Students!E:E, A855, Students!D:D, "&gt;=0"))</f>
        <v/>
      </c>
      <c r="F855" s="31" t="str">
        <f t="shared" si="26"/>
        <v/>
      </c>
      <c r="G855" s="6" t="str">
        <f t="shared" si="27"/>
        <v/>
      </c>
    </row>
    <row r="856" spans="4:7" x14ac:dyDescent="0.2">
      <c r="D856" s="31" t="str">
        <f>IF(LEN(TRIM(A856))=0,"",COUNTIFS(Students!E:E, A856))</f>
        <v/>
      </c>
      <c r="E856" s="31" t="str">
        <f>IF(LEN(TRIM(A856))=0,"",COUNTIFS(Students!E:E, A856, Students!D:D, "&gt;=0"))</f>
        <v/>
      </c>
      <c r="F856" s="31" t="str">
        <f t="shared" si="26"/>
        <v/>
      </c>
      <c r="G856" s="6" t="str">
        <f t="shared" si="27"/>
        <v/>
      </c>
    </row>
    <row r="857" spans="4:7" x14ac:dyDescent="0.2">
      <c r="D857" s="31" t="str">
        <f>IF(LEN(TRIM(A857))=0,"",COUNTIFS(Students!E:E, A857))</f>
        <v/>
      </c>
      <c r="E857" s="31" t="str">
        <f>IF(LEN(TRIM(A857))=0,"",COUNTIFS(Students!E:E, A857, Students!D:D, "&gt;=0"))</f>
        <v/>
      </c>
      <c r="F857" s="31" t="str">
        <f t="shared" si="26"/>
        <v/>
      </c>
      <c r="G857" s="6" t="str">
        <f t="shared" si="27"/>
        <v/>
      </c>
    </row>
    <row r="858" spans="4:7" x14ac:dyDescent="0.2">
      <c r="D858" s="31" t="str">
        <f>IF(LEN(TRIM(A858))=0,"",COUNTIFS(Students!E:E, A858))</f>
        <v/>
      </c>
      <c r="E858" s="31" t="str">
        <f>IF(LEN(TRIM(A858))=0,"",COUNTIFS(Students!E:E, A858, Students!D:D, "&gt;=0"))</f>
        <v/>
      </c>
      <c r="F858" s="31" t="str">
        <f t="shared" si="26"/>
        <v/>
      </c>
      <c r="G858" s="6" t="str">
        <f t="shared" si="27"/>
        <v/>
      </c>
    </row>
    <row r="859" spans="4:7" x14ac:dyDescent="0.2">
      <c r="D859" s="31" t="str">
        <f>IF(LEN(TRIM(A859))=0,"",COUNTIFS(Students!E:E, A859))</f>
        <v/>
      </c>
      <c r="E859" s="31" t="str">
        <f>IF(LEN(TRIM(A859))=0,"",COUNTIFS(Students!E:E, A859, Students!D:D, "&gt;=0"))</f>
        <v/>
      </c>
      <c r="F859" s="31" t="str">
        <f t="shared" si="26"/>
        <v/>
      </c>
      <c r="G859" s="6" t="str">
        <f t="shared" si="27"/>
        <v/>
      </c>
    </row>
    <row r="860" spans="4:7" x14ac:dyDescent="0.2">
      <c r="D860" s="31" t="str">
        <f>IF(LEN(TRIM(A860))=0,"",COUNTIFS(Students!E:E, A860))</f>
        <v/>
      </c>
      <c r="E860" s="31" t="str">
        <f>IF(LEN(TRIM(A860))=0,"",COUNTIFS(Students!E:E, A860, Students!D:D, "&gt;=0"))</f>
        <v/>
      </c>
      <c r="F860" s="31" t="str">
        <f t="shared" si="26"/>
        <v/>
      </c>
      <c r="G860" s="6" t="str">
        <f t="shared" si="27"/>
        <v/>
      </c>
    </row>
    <row r="861" spans="4:7" x14ac:dyDescent="0.2">
      <c r="D861" s="31" t="str">
        <f>IF(LEN(TRIM(A861))=0,"",COUNTIFS(Students!E:E, A861))</f>
        <v/>
      </c>
      <c r="E861" s="31" t="str">
        <f>IF(LEN(TRIM(A861))=0,"",COUNTIFS(Students!E:E, A861, Students!D:D, "&gt;=0"))</f>
        <v/>
      </c>
      <c r="F861" s="31" t="str">
        <f t="shared" si="26"/>
        <v/>
      </c>
      <c r="G861" s="6" t="str">
        <f t="shared" si="27"/>
        <v/>
      </c>
    </row>
    <row r="862" spans="4:7" x14ac:dyDescent="0.2">
      <c r="D862" s="31" t="str">
        <f>IF(LEN(TRIM(A862))=0,"",COUNTIFS(Students!E:E, A862))</f>
        <v/>
      </c>
      <c r="E862" s="31" t="str">
        <f>IF(LEN(TRIM(A862))=0,"",COUNTIFS(Students!E:E, A862, Students!D:D, "&gt;=0"))</f>
        <v/>
      </c>
      <c r="F862" s="31" t="str">
        <f t="shared" si="26"/>
        <v/>
      </c>
      <c r="G862" s="6" t="str">
        <f t="shared" si="27"/>
        <v/>
      </c>
    </row>
    <row r="863" spans="4:7" x14ac:dyDescent="0.2">
      <c r="D863" s="31" t="str">
        <f>IF(LEN(TRIM(A863))=0,"",COUNTIFS(Students!E:E, A863))</f>
        <v/>
      </c>
      <c r="E863" s="31" t="str">
        <f>IF(LEN(TRIM(A863))=0,"",COUNTIFS(Students!E:E, A863, Students!D:D, "&gt;=0"))</f>
        <v/>
      </c>
      <c r="F863" s="31" t="str">
        <f t="shared" si="26"/>
        <v/>
      </c>
      <c r="G863" s="6" t="str">
        <f t="shared" si="27"/>
        <v/>
      </c>
    </row>
    <row r="864" spans="4:7" x14ac:dyDescent="0.2">
      <c r="D864" s="31" t="str">
        <f>IF(LEN(TRIM(A864))=0,"",COUNTIFS(Students!E:E, A864))</f>
        <v/>
      </c>
      <c r="E864" s="31" t="str">
        <f>IF(LEN(TRIM(A864))=0,"",COUNTIFS(Students!E:E, A864, Students!D:D, "&gt;=0"))</f>
        <v/>
      </c>
      <c r="F864" s="31" t="str">
        <f t="shared" si="26"/>
        <v/>
      </c>
      <c r="G864" s="6" t="str">
        <f t="shared" si="27"/>
        <v/>
      </c>
    </row>
    <row r="865" spans="4:7" x14ac:dyDescent="0.2">
      <c r="D865" s="31" t="str">
        <f>IF(LEN(TRIM(A865))=0,"",COUNTIFS(Students!E:E, A865))</f>
        <v/>
      </c>
      <c r="E865" s="31" t="str">
        <f>IF(LEN(TRIM(A865))=0,"",COUNTIFS(Students!E:E, A865, Students!D:D, "&gt;=0"))</f>
        <v/>
      </c>
      <c r="F865" s="31" t="str">
        <f t="shared" si="26"/>
        <v/>
      </c>
      <c r="G865" s="6" t="str">
        <f t="shared" si="27"/>
        <v/>
      </c>
    </row>
    <row r="866" spans="4:7" x14ac:dyDescent="0.2">
      <c r="D866" s="31" t="str">
        <f>IF(LEN(TRIM(A866))=0,"",COUNTIFS(Students!E:E, A866))</f>
        <v/>
      </c>
      <c r="E866" s="31" t="str">
        <f>IF(LEN(TRIM(A866))=0,"",COUNTIFS(Students!E:E, A866, Students!D:D, "&gt;=0"))</f>
        <v/>
      </c>
      <c r="F866" s="31" t="str">
        <f t="shared" si="26"/>
        <v/>
      </c>
      <c r="G866" s="6" t="str">
        <f t="shared" si="27"/>
        <v/>
      </c>
    </row>
    <row r="867" spans="4:7" x14ac:dyDescent="0.2">
      <c r="D867" s="31" t="str">
        <f>IF(LEN(TRIM(A867))=0,"",COUNTIFS(Students!E:E, A867))</f>
        <v/>
      </c>
      <c r="E867" s="31" t="str">
        <f>IF(LEN(TRIM(A867))=0,"",COUNTIFS(Students!E:E, A867, Students!D:D, "&gt;=0"))</f>
        <v/>
      </c>
      <c r="F867" s="31" t="str">
        <f t="shared" si="26"/>
        <v/>
      </c>
      <c r="G867" s="6" t="str">
        <f t="shared" si="27"/>
        <v/>
      </c>
    </row>
    <row r="868" spans="4:7" x14ac:dyDescent="0.2">
      <c r="D868" s="31" t="str">
        <f>IF(LEN(TRIM(A868))=0,"",COUNTIFS(Students!E:E, A868))</f>
        <v/>
      </c>
      <c r="E868" s="31" t="str">
        <f>IF(LEN(TRIM(A868))=0,"",COUNTIFS(Students!E:E, A868, Students!D:D, "&gt;=0"))</f>
        <v/>
      </c>
      <c r="F868" s="31" t="str">
        <f t="shared" si="26"/>
        <v/>
      </c>
      <c r="G868" s="6" t="str">
        <f t="shared" si="27"/>
        <v/>
      </c>
    </row>
    <row r="869" spans="4:7" x14ac:dyDescent="0.2">
      <c r="D869" s="31" t="str">
        <f>IF(LEN(TRIM(A869))=0,"",COUNTIFS(Students!E:E, A869))</f>
        <v/>
      </c>
      <c r="E869" s="31" t="str">
        <f>IF(LEN(TRIM(A869))=0,"",COUNTIFS(Students!E:E, A869, Students!D:D, "&gt;=0"))</f>
        <v/>
      </c>
      <c r="F869" s="31" t="str">
        <f t="shared" si="26"/>
        <v/>
      </c>
      <c r="G869" s="6" t="str">
        <f t="shared" si="27"/>
        <v/>
      </c>
    </row>
    <row r="870" spans="4:7" x14ac:dyDescent="0.2">
      <c r="D870" s="31" t="str">
        <f>IF(LEN(TRIM(A870))=0,"",COUNTIFS(Students!E:E, A870))</f>
        <v/>
      </c>
      <c r="E870" s="31" t="str">
        <f>IF(LEN(TRIM(A870))=0,"",COUNTIFS(Students!E:E, A870, Students!D:D, "&gt;=0"))</f>
        <v/>
      </c>
      <c r="F870" s="31" t="str">
        <f t="shared" si="26"/>
        <v/>
      </c>
      <c r="G870" s="6" t="str">
        <f t="shared" si="27"/>
        <v/>
      </c>
    </row>
    <row r="871" spans="4:7" x14ac:dyDescent="0.2">
      <c r="D871" s="31" t="str">
        <f>IF(LEN(TRIM(A871))=0,"",COUNTIFS(Students!E:E, A871))</f>
        <v/>
      </c>
      <c r="E871" s="31" t="str">
        <f>IF(LEN(TRIM(A871))=0,"",COUNTIFS(Students!E:E, A871, Students!D:D, "&gt;=0"))</f>
        <v/>
      </c>
      <c r="F871" s="31" t="str">
        <f t="shared" si="26"/>
        <v/>
      </c>
      <c r="G871" s="6" t="str">
        <f t="shared" si="27"/>
        <v/>
      </c>
    </row>
    <row r="872" spans="4:7" x14ac:dyDescent="0.2">
      <c r="D872" s="31" t="str">
        <f>IF(LEN(TRIM(A872))=0,"",COUNTIFS(Students!E:E, A872))</f>
        <v/>
      </c>
      <c r="E872" s="31" t="str">
        <f>IF(LEN(TRIM(A872))=0,"",COUNTIFS(Students!E:E, A872, Students!D:D, "&gt;=0"))</f>
        <v/>
      </c>
      <c r="F872" s="31" t="str">
        <f t="shared" si="26"/>
        <v/>
      </c>
      <c r="G872" s="6" t="str">
        <f t="shared" si="27"/>
        <v/>
      </c>
    </row>
    <row r="873" spans="4:7" x14ac:dyDescent="0.2">
      <c r="D873" s="31" t="str">
        <f>IF(LEN(TRIM(A873))=0,"",COUNTIFS(Students!E:E, A873))</f>
        <v/>
      </c>
      <c r="E873" s="31" t="str">
        <f>IF(LEN(TRIM(A873))=0,"",COUNTIFS(Students!E:E, A873, Students!D:D, "&gt;=0"))</f>
        <v/>
      </c>
      <c r="F873" s="31" t="str">
        <f t="shared" si="26"/>
        <v/>
      </c>
      <c r="G873" s="6" t="str">
        <f t="shared" si="27"/>
        <v/>
      </c>
    </row>
    <row r="874" spans="4:7" x14ac:dyDescent="0.2">
      <c r="D874" s="31" t="str">
        <f>IF(LEN(TRIM(A874))=0,"",COUNTIFS(Students!E:E, A874))</f>
        <v/>
      </c>
      <c r="E874" s="31" t="str">
        <f>IF(LEN(TRIM(A874))=0,"",COUNTIFS(Students!E:E, A874, Students!D:D, "&gt;=0"))</f>
        <v/>
      </c>
      <c r="F874" s="31" t="str">
        <f t="shared" si="26"/>
        <v/>
      </c>
      <c r="G874" s="6" t="str">
        <f t="shared" si="27"/>
        <v/>
      </c>
    </row>
    <row r="875" spans="4:7" x14ac:dyDescent="0.2">
      <c r="D875" s="31" t="str">
        <f>IF(LEN(TRIM(A875))=0,"",COUNTIFS(Students!E:E, A875))</f>
        <v/>
      </c>
      <c r="E875" s="31" t="str">
        <f>IF(LEN(TRIM(A875))=0,"",COUNTIFS(Students!E:E, A875, Students!D:D, "&gt;=0"))</f>
        <v/>
      </c>
      <c r="F875" s="31" t="str">
        <f t="shared" si="26"/>
        <v/>
      </c>
      <c r="G875" s="6" t="str">
        <f t="shared" si="27"/>
        <v/>
      </c>
    </row>
    <row r="876" spans="4:7" x14ac:dyDescent="0.2">
      <c r="D876" s="31" t="str">
        <f>IF(LEN(TRIM(A876))=0,"",COUNTIFS(Students!E:E, A876))</f>
        <v/>
      </c>
      <c r="E876" s="31" t="str">
        <f>IF(LEN(TRIM(A876))=0,"",COUNTIFS(Students!E:E, A876, Students!D:D, "&gt;=0"))</f>
        <v/>
      </c>
      <c r="F876" s="31" t="str">
        <f t="shared" si="26"/>
        <v/>
      </c>
      <c r="G876" s="6" t="str">
        <f t="shared" si="27"/>
        <v/>
      </c>
    </row>
    <row r="877" spans="4:7" x14ac:dyDescent="0.2">
      <c r="D877" s="31" t="str">
        <f>IF(LEN(TRIM(A877))=0,"",COUNTIFS(Students!E:E, A877))</f>
        <v/>
      </c>
      <c r="E877" s="31" t="str">
        <f>IF(LEN(TRIM(A877))=0,"",COUNTIFS(Students!E:E, A877, Students!D:D, "&gt;=0"))</f>
        <v/>
      </c>
      <c r="F877" s="31" t="str">
        <f t="shared" si="26"/>
        <v/>
      </c>
      <c r="G877" s="6" t="str">
        <f t="shared" si="27"/>
        <v/>
      </c>
    </row>
    <row r="878" spans="4:7" x14ac:dyDescent="0.2">
      <c r="D878" s="31" t="str">
        <f>IF(LEN(TRIM(A878))=0,"",COUNTIFS(Students!E:E, A878))</f>
        <v/>
      </c>
      <c r="E878" s="31" t="str">
        <f>IF(LEN(TRIM(A878))=0,"",COUNTIFS(Students!E:E, A878, Students!D:D, "&gt;=0"))</f>
        <v/>
      </c>
      <c r="F878" s="31" t="str">
        <f t="shared" si="26"/>
        <v/>
      </c>
      <c r="G878" s="6" t="str">
        <f t="shared" si="27"/>
        <v/>
      </c>
    </row>
    <row r="879" spans="4:7" x14ac:dyDescent="0.2">
      <c r="D879" s="31" t="str">
        <f>IF(LEN(TRIM(A879))=0,"",COUNTIFS(Students!E:E, A879))</f>
        <v/>
      </c>
      <c r="E879" s="31" t="str">
        <f>IF(LEN(TRIM(A879))=0,"",COUNTIFS(Students!E:E, A879, Students!D:D, "&gt;=0"))</f>
        <v/>
      </c>
      <c r="F879" s="31" t="str">
        <f t="shared" si="26"/>
        <v/>
      </c>
      <c r="G879" s="6" t="str">
        <f t="shared" si="27"/>
        <v/>
      </c>
    </row>
    <row r="880" spans="4:7" x14ac:dyDescent="0.2">
      <c r="D880" s="31" t="str">
        <f>IF(LEN(TRIM(A880))=0,"",COUNTIFS(Students!E:E, A880))</f>
        <v/>
      </c>
      <c r="E880" s="31" t="str">
        <f>IF(LEN(TRIM(A880))=0,"",COUNTIFS(Students!E:E, A880, Students!D:D, "&gt;=0"))</f>
        <v/>
      </c>
      <c r="F880" s="31" t="str">
        <f t="shared" si="26"/>
        <v/>
      </c>
      <c r="G880" s="6" t="str">
        <f t="shared" si="27"/>
        <v/>
      </c>
    </row>
    <row r="881" spans="4:7" x14ac:dyDescent="0.2">
      <c r="D881" s="31" t="str">
        <f>IF(LEN(TRIM(A881))=0,"",COUNTIFS(Students!E:E, A881))</f>
        <v/>
      </c>
      <c r="E881" s="31" t="str">
        <f>IF(LEN(TRIM(A881))=0,"",COUNTIFS(Students!E:E, A881, Students!D:D, "&gt;=0"))</f>
        <v/>
      </c>
      <c r="F881" s="31" t="str">
        <f t="shared" si="26"/>
        <v/>
      </c>
      <c r="G881" s="6" t="str">
        <f t="shared" si="27"/>
        <v/>
      </c>
    </row>
    <row r="882" spans="4:7" x14ac:dyDescent="0.2">
      <c r="D882" s="31" t="str">
        <f>IF(LEN(TRIM(A882))=0,"",COUNTIFS(Students!E:E, A882))</f>
        <v/>
      </c>
      <c r="E882" s="31" t="str">
        <f>IF(LEN(TRIM(A882))=0,"",COUNTIFS(Students!E:E, A882, Students!D:D, "&gt;=0"))</f>
        <v/>
      </c>
      <c r="F882" s="31" t="str">
        <f t="shared" si="26"/>
        <v/>
      </c>
      <c r="G882" s="6" t="str">
        <f t="shared" si="27"/>
        <v/>
      </c>
    </row>
    <row r="883" spans="4:7" x14ac:dyDescent="0.2">
      <c r="D883" s="31" t="str">
        <f>IF(LEN(TRIM(A883))=0,"",COUNTIFS(Students!E:E, A883))</f>
        <v/>
      </c>
      <c r="E883" s="31" t="str">
        <f>IF(LEN(TRIM(A883))=0,"",COUNTIFS(Students!E:E, A883, Students!D:D, "&gt;=0"))</f>
        <v/>
      </c>
      <c r="F883" s="31" t="str">
        <f t="shared" si="26"/>
        <v/>
      </c>
      <c r="G883" s="6" t="str">
        <f t="shared" si="27"/>
        <v/>
      </c>
    </row>
    <row r="884" spans="4:7" x14ac:dyDescent="0.2">
      <c r="D884" s="31" t="str">
        <f>IF(LEN(TRIM(A884))=0,"",COUNTIFS(Students!E:E, A884))</f>
        <v/>
      </c>
      <c r="E884" s="31" t="str">
        <f>IF(LEN(TRIM(A884))=0,"",COUNTIFS(Students!E:E, A884, Students!D:D, "&gt;=0"))</f>
        <v/>
      </c>
      <c r="F884" s="31" t="str">
        <f t="shared" si="26"/>
        <v/>
      </c>
      <c r="G884" s="6" t="str">
        <f t="shared" si="27"/>
        <v/>
      </c>
    </row>
    <row r="885" spans="4:7" x14ac:dyDescent="0.2">
      <c r="D885" s="31" t="str">
        <f>IF(LEN(TRIM(A885))=0,"",COUNTIFS(Students!E:E, A885))</f>
        <v/>
      </c>
      <c r="E885" s="31" t="str">
        <f>IF(LEN(TRIM(A885))=0,"",COUNTIFS(Students!E:E, A885, Students!D:D, "&gt;=0"))</f>
        <v/>
      </c>
      <c r="F885" s="31" t="str">
        <f t="shared" si="26"/>
        <v/>
      </c>
      <c r="G885" s="6" t="str">
        <f t="shared" si="27"/>
        <v/>
      </c>
    </row>
    <row r="886" spans="4:7" x14ac:dyDescent="0.2">
      <c r="D886" s="31" t="str">
        <f>IF(LEN(TRIM(A886))=0,"",COUNTIFS(Students!E:E, A886))</f>
        <v/>
      </c>
      <c r="E886" s="31" t="str">
        <f>IF(LEN(TRIM(A886))=0,"",COUNTIFS(Students!E:E, A886, Students!D:D, "&gt;=0"))</f>
        <v/>
      </c>
      <c r="F886" s="31" t="str">
        <f t="shared" si="26"/>
        <v/>
      </c>
      <c r="G886" s="6" t="str">
        <f t="shared" si="27"/>
        <v/>
      </c>
    </row>
    <row r="887" spans="4:7" x14ac:dyDescent="0.2">
      <c r="D887" s="31" t="str">
        <f>IF(LEN(TRIM(A887))=0,"",COUNTIFS(Students!E:E, A887))</f>
        <v/>
      </c>
      <c r="E887" s="31" t="str">
        <f>IF(LEN(TRIM(A887))=0,"",COUNTIFS(Students!E:E, A887, Students!D:D, "&gt;=0"))</f>
        <v/>
      </c>
      <c r="F887" s="31" t="str">
        <f t="shared" si="26"/>
        <v/>
      </c>
      <c r="G887" s="6" t="str">
        <f t="shared" si="27"/>
        <v/>
      </c>
    </row>
    <row r="888" spans="4:7" x14ac:dyDescent="0.2">
      <c r="D888" s="31" t="str">
        <f>IF(LEN(TRIM(A888))=0,"",COUNTIFS(Students!E:E, A888))</f>
        <v/>
      </c>
      <c r="E888" s="31" t="str">
        <f>IF(LEN(TRIM(A888))=0,"",COUNTIFS(Students!E:E, A888, Students!D:D, "&gt;=0"))</f>
        <v/>
      </c>
      <c r="F888" s="31" t="str">
        <f t="shared" si="26"/>
        <v/>
      </c>
      <c r="G888" s="6" t="str">
        <f t="shared" si="27"/>
        <v/>
      </c>
    </row>
    <row r="889" spans="4:7" x14ac:dyDescent="0.2">
      <c r="D889" s="31" t="str">
        <f>IF(LEN(TRIM(A889))=0,"",COUNTIFS(Students!E:E, A889))</f>
        <v/>
      </c>
      <c r="E889" s="31" t="str">
        <f>IF(LEN(TRIM(A889))=0,"",COUNTIFS(Students!E:E, A889, Students!D:D, "&gt;=0"))</f>
        <v/>
      </c>
      <c r="F889" s="31" t="str">
        <f t="shared" si="26"/>
        <v/>
      </c>
      <c r="G889" s="6" t="str">
        <f t="shared" si="27"/>
        <v/>
      </c>
    </row>
    <row r="890" spans="4:7" x14ac:dyDescent="0.2">
      <c r="D890" s="31" t="str">
        <f>IF(LEN(TRIM(A890))=0,"",COUNTIFS(Students!E:E, A890))</f>
        <v/>
      </c>
      <c r="E890" s="31" t="str">
        <f>IF(LEN(TRIM(A890))=0,"",COUNTIFS(Students!E:E, A890, Students!D:D, "&gt;=0"))</f>
        <v/>
      </c>
      <c r="F890" s="31" t="str">
        <f t="shared" si="26"/>
        <v/>
      </c>
      <c r="G890" s="6" t="str">
        <f t="shared" si="27"/>
        <v/>
      </c>
    </row>
    <row r="891" spans="4:7" x14ac:dyDescent="0.2">
      <c r="D891" s="31" t="str">
        <f>IF(LEN(TRIM(A891))=0,"",COUNTIFS(Students!E:E, A891))</f>
        <v/>
      </c>
      <c r="E891" s="31" t="str">
        <f>IF(LEN(TRIM(A891))=0,"",COUNTIFS(Students!E:E, A891, Students!D:D, "&gt;=0"))</f>
        <v/>
      </c>
      <c r="F891" s="31" t="str">
        <f t="shared" si="26"/>
        <v/>
      </c>
      <c r="G891" s="6" t="str">
        <f t="shared" si="27"/>
        <v/>
      </c>
    </row>
    <row r="892" spans="4:7" x14ac:dyDescent="0.2">
      <c r="D892" s="31" t="str">
        <f>IF(LEN(TRIM(A892))=0,"",COUNTIFS(Students!E:E, A892))</f>
        <v/>
      </c>
      <c r="E892" s="31" t="str">
        <f>IF(LEN(TRIM(A892))=0,"",COUNTIFS(Students!E:E, A892, Students!D:D, "&gt;=0"))</f>
        <v/>
      </c>
      <c r="F892" s="31" t="str">
        <f t="shared" si="26"/>
        <v/>
      </c>
      <c r="G892" s="6" t="str">
        <f t="shared" si="27"/>
        <v/>
      </c>
    </row>
    <row r="893" spans="4:7" x14ac:dyDescent="0.2">
      <c r="D893" s="31" t="str">
        <f>IF(LEN(TRIM(A893))=0,"",COUNTIFS(Students!E:E, A893))</f>
        <v/>
      </c>
      <c r="E893" s="31" t="str">
        <f>IF(LEN(TRIM(A893))=0,"",COUNTIFS(Students!E:E, A893, Students!D:D, "&gt;=0"))</f>
        <v/>
      </c>
      <c r="F893" s="31" t="str">
        <f t="shared" si="26"/>
        <v/>
      </c>
      <c r="G893" s="6" t="str">
        <f t="shared" si="27"/>
        <v/>
      </c>
    </row>
    <row r="894" spans="4:7" x14ac:dyDescent="0.2">
      <c r="D894" s="31" t="str">
        <f>IF(LEN(TRIM(A894))=0,"",COUNTIFS(Students!E:E, A894))</f>
        <v/>
      </c>
      <c r="E894" s="31" t="str">
        <f>IF(LEN(TRIM(A894))=0,"",COUNTIFS(Students!E:E, A894, Students!D:D, "&gt;=0"))</f>
        <v/>
      </c>
      <c r="F894" s="31" t="str">
        <f t="shared" si="26"/>
        <v/>
      </c>
      <c r="G894" s="6" t="str">
        <f t="shared" si="27"/>
        <v/>
      </c>
    </row>
    <row r="895" spans="4:7" x14ac:dyDescent="0.2">
      <c r="D895" s="31" t="str">
        <f>IF(LEN(TRIM(A895))=0,"",COUNTIFS(Students!E:E, A895))</f>
        <v/>
      </c>
      <c r="E895" s="31" t="str">
        <f>IF(LEN(TRIM(A895))=0,"",COUNTIFS(Students!E:E, A895, Students!D:D, "&gt;=0"))</f>
        <v/>
      </c>
      <c r="F895" s="31" t="str">
        <f t="shared" si="26"/>
        <v/>
      </c>
      <c r="G895" s="6" t="str">
        <f t="shared" si="27"/>
        <v/>
      </c>
    </row>
    <row r="896" spans="4:7" x14ac:dyDescent="0.2">
      <c r="D896" s="31" t="str">
        <f>IF(LEN(TRIM(A896))=0,"",COUNTIFS(Students!E:E, A896))</f>
        <v/>
      </c>
      <c r="E896" s="31" t="str">
        <f>IF(LEN(TRIM(A896))=0,"",COUNTIFS(Students!E:E, A896, Students!D:D, "&gt;=0"))</f>
        <v/>
      </c>
      <c r="F896" s="31" t="str">
        <f t="shared" si="26"/>
        <v/>
      </c>
      <c r="G896" s="6" t="str">
        <f t="shared" si="27"/>
        <v/>
      </c>
    </row>
    <row r="897" spans="4:7" x14ac:dyDescent="0.2">
      <c r="D897" s="31" t="str">
        <f>IF(LEN(TRIM(A897))=0,"",COUNTIFS(Students!E:E, A897))</f>
        <v/>
      </c>
      <c r="E897" s="31" t="str">
        <f>IF(LEN(TRIM(A897))=0,"",COUNTIFS(Students!E:E, A897, Students!D:D, "&gt;=0"))</f>
        <v/>
      </c>
      <c r="F897" s="31" t="str">
        <f t="shared" si="26"/>
        <v/>
      </c>
      <c r="G897" s="6" t="str">
        <f t="shared" si="27"/>
        <v/>
      </c>
    </row>
    <row r="898" spans="4:7" x14ac:dyDescent="0.2">
      <c r="D898" s="31" t="str">
        <f>IF(LEN(TRIM(A898))=0,"",COUNTIFS(Students!E:E, A898))</f>
        <v/>
      </c>
      <c r="E898" s="31" t="str">
        <f>IF(LEN(TRIM(A898))=0,"",COUNTIFS(Students!E:E, A898, Students!D:D, "&gt;=0"))</f>
        <v/>
      </c>
      <c r="F898" s="31" t="str">
        <f t="shared" si="26"/>
        <v/>
      </c>
      <c r="G898" s="6" t="str">
        <f t="shared" si="27"/>
        <v/>
      </c>
    </row>
    <row r="899" spans="4:7" x14ac:dyDescent="0.2">
      <c r="D899" s="5" t="str">
        <f>IF(LEN(TRIM(A899))=0,"",COUNTIFS(Students!E:E, A899))</f>
        <v/>
      </c>
      <c r="E899" s="5" t="str">
        <f>IF(LEN(TRIM(A899))=0,"",COUNTIFS(Students!E:E, A899, Students!D:D, "&gt;=0"))</f>
        <v/>
      </c>
      <c r="F899" s="5" t="str">
        <f t="shared" ref="F899" si="28">IFERROR(D899-E899,"")</f>
        <v/>
      </c>
      <c r="G899" s="6" t="str">
        <f t="shared" ref="G899" si="29">IFERROR(IF(D899=0, "N/A", E899/D899),"")</f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96D2-E056-41FE-9AA5-E557B0D53E24}">
  <sheetPr codeName="Sheet5">
    <pageSetUpPr fitToPage="1"/>
  </sheetPr>
  <dimension ref="A1:H500"/>
  <sheetViews>
    <sheetView showGridLines="0" tabSelected="1" zoomScaleNormal="100" workbookViewId="0">
      <selection activeCell="C5" sqref="C5"/>
    </sheetView>
  </sheetViews>
  <sheetFormatPr defaultRowHeight="14.25" x14ac:dyDescent="0.2"/>
  <cols>
    <col min="1" max="2" width="9" style="7"/>
    <col min="3" max="3" width="13.75" style="7" customWidth="1"/>
    <col min="4" max="4" width="9" style="7"/>
    <col min="5" max="5" width="15.75" style="7" bestFit="1" customWidth="1"/>
    <col min="6" max="6" width="33.5" style="7" bestFit="1" customWidth="1"/>
    <col min="7" max="16384" width="9" style="7"/>
  </cols>
  <sheetData>
    <row r="1" spans="1:8" x14ac:dyDescent="0.2">
      <c r="A1" s="28" t="s">
        <v>23</v>
      </c>
      <c r="B1" s="28"/>
      <c r="C1" s="28"/>
      <c r="D1" s="28"/>
      <c r="E1" s="28"/>
      <c r="F1" s="28"/>
      <c r="G1" s="28"/>
      <c r="H1" s="28"/>
    </row>
    <row r="2" spans="1:8" x14ac:dyDescent="0.2">
      <c r="A2" s="28"/>
      <c r="B2" s="28"/>
      <c r="C2" s="28"/>
      <c r="D2" s="28"/>
      <c r="E2" s="28"/>
      <c r="F2" s="28"/>
      <c r="G2" s="28"/>
      <c r="H2" s="28"/>
    </row>
    <row r="3" spans="1:8" ht="15" x14ac:dyDescent="0.25">
      <c r="B3" s="29" t="s">
        <v>24</v>
      </c>
      <c r="C3" s="29"/>
      <c r="D3" s="29"/>
      <c r="E3" s="29"/>
    </row>
    <row r="5" spans="1:8" ht="15.75" x14ac:dyDescent="0.25">
      <c r="B5" s="7" t="s">
        <v>11</v>
      </c>
      <c r="C5" s="9"/>
      <c r="E5" s="16" t="s">
        <v>14</v>
      </c>
      <c r="F5" s="8" t="str">
        <f>UPPER(IFERROR(VLOOKUP(C5, Schools!A:E, 2, FALSE), ""))</f>
        <v/>
      </c>
    </row>
    <row r="6" spans="1:8" ht="15.75" x14ac:dyDescent="0.25">
      <c r="B6" s="7" t="s">
        <v>12</v>
      </c>
      <c r="C6" s="9"/>
      <c r="E6" s="16" t="s">
        <v>13</v>
      </c>
      <c r="F6" s="8" t="str">
        <f>UPPER(IFERROR(VLOOKUP(C6, Subjects!A:C, 3, FALSE), ""))</f>
        <v/>
      </c>
    </row>
    <row r="7" spans="1:8" ht="15.75" x14ac:dyDescent="0.25">
      <c r="E7" s="16" t="s">
        <v>15</v>
      </c>
      <c r="F7" s="8" t="str">
        <f>UPPER(IFERROR(VLOOKUP(C5, Schools!A:E, 5, FALSE), ""))</f>
        <v/>
      </c>
    </row>
    <row r="8" spans="1:8" ht="15.75" x14ac:dyDescent="0.25">
      <c r="E8" s="16" t="s">
        <v>16</v>
      </c>
      <c r="F8" s="8" t="str">
        <f>UPPER(IFERROR(VLOOKUP(C5, Schools!A:E, 4, FALSE), ""))</f>
        <v/>
      </c>
    </row>
    <row r="9" spans="1:8" ht="15.75" x14ac:dyDescent="0.25">
      <c r="E9" s="16" t="s">
        <v>17</v>
      </c>
      <c r="F9" s="8" t="str">
        <f>IFERROR(VLOOKUP(C5, Schools!A:E, 3, FALSE), "")</f>
        <v/>
      </c>
    </row>
    <row r="500" spans="1:1" x14ac:dyDescent="0.2">
      <c r="A500" s="7" t="s">
        <v>25</v>
      </c>
    </row>
  </sheetData>
  <sheetProtection autoFilter="0"/>
  <mergeCells count="2">
    <mergeCell ref="A1:H2"/>
    <mergeCell ref="B3:E3"/>
  </mergeCell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76AA6-7539-425F-A61C-F04CCF264CE7}">
          <x14:formula1>
            <xm:f>Schools!$A$2:$A$5001</xm:f>
          </x14:formula1>
          <xm:sqref>C5</xm:sqref>
        </x14:dataValidation>
        <x14:dataValidation type="list" allowBlank="1" showInputMessage="1" showErrorMessage="1" xr:uid="{A1147F87-9128-40A7-8F7B-1C73F78F4739}">
          <x14:formula1>
            <xm:f>Subjects!$A$2:$A$500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2025-08-08T13:10:04Z</dcterms:modified>
</cp:coreProperties>
</file>