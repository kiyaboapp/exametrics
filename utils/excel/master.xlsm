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s\utils\excel\"/>
    </mc:Choice>
  </mc:AlternateContent>
  <xr:revisionPtr revIDLastSave="0" documentId="13_ncr:1_{A909BB7C-EF76-42FF-A89F-ADE4C2BBB23A}" xr6:coauthVersionLast="47" xr6:coauthVersionMax="47" xr10:uidLastSave="{00000000-0000-0000-0000-000000000000}"/>
  <bookViews>
    <workbookView showHorizontalScroll="0" showSheetTabs="0" xWindow="-120" yWindow="-120" windowWidth="20730" windowHeight="11040" activeTab="3" xr2:uid="{81502461-A4A6-4D90-9480-DE92ED817A1B}"/>
  </bookViews>
  <sheets>
    <sheet name="Students" sheetId="1" r:id="rId1"/>
    <sheet name="Schools" sheetId="2" r:id="rId2"/>
    <sheet name="Subjects" sheetId="3" r:id="rId3"/>
    <sheet name="Interfac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5" l="1"/>
  <c r="F7" i="5"/>
  <c r="F6" i="5"/>
  <c r="F5" i="5"/>
  <c r="F9" i="5"/>
</calcChain>
</file>

<file path=xl/sharedStrings.xml><?xml version="1.0" encoding="utf-8"?>
<sst xmlns="http://schemas.openxmlformats.org/spreadsheetml/2006/main" count="41" uniqueCount="30">
  <si>
    <t>student_id</t>
  </si>
  <si>
    <t>full_name</t>
  </si>
  <si>
    <t>sex</t>
  </si>
  <si>
    <t>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</si>
  <si>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</si>
  <si>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</si>
  <si>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</si>
  <si>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</si>
  <si>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</si>
  <si>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</si>
  <si>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</si>
  <si>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marks</t>
  </si>
  <si>
    <t>CENTRE</t>
  </si>
  <si>
    <t>CODE</t>
  </si>
  <si>
    <t>SUBJECT NAME</t>
  </si>
  <si>
    <t>SCHOOL NAME</t>
  </si>
  <si>
    <t>REGION</t>
  </si>
  <si>
    <t>COUNCIL</t>
  </si>
  <si>
    <t>WARD</t>
  </si>
  <si>
    <t>Registered</t>
  </si>
  <si>
    <t>With Marks</t>
  </si>
  <si>
    <t>Absents</t>
  </si>
  <si>
    <t>Progress</t>
  </si>
  <si>
    <t>Status</t>
  </si>
  <si>
    <t>subject_code</t>
  </si>
  <si>
    <t>KIYABO APP FOR JOINT EXAMINATIONS</t>
  </si>
  <si>
    <t>SELECT CENTRE AND SUBJECT CODE</t>
  </si>
  <si>
    <t>S0774</t>
  </si>
  <si>
    <t>ddddd</t>
  </si>
  <si>
    <t>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</si>
</sst>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sz val="8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7" fillId="4" borderId="0" xfId="0" applyFont="1" applyFill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0" borderId="0" xfId="1" applyNumberFormat="1" applyFont="1" applyProtection="1"/>
    <xf numFmtId="164" fontId="0" fillId="0" borderId="0" xfId="2" applyNumberFormat="1" applyFont="1" applyProtection="1"/>
    <xf numFmtId="0" fontId="0" fillId="0" borderId="0" xfId="0" applyAlignment="1">
      <alignment horizontal="center"/>
    </xf>
    <xf numFmtId="164" fontId="0" fillId="0" borderId="0" xfId="2" applyNumberFormat="1" applyFont="1" applyAlignment="1" applyProtection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8" fillId="4" borderId="0" xfId="0" applyFont="1" applyFill="1" applyAlignment="1" applyProtection="1">
      <alignment vertical="center" wrapText="1"/>
      <protection locked="0"/>
    </xf>
    <xf numFmtId="0" fontId="8" fillId="4" borderId="0" xfId="0" applyFont="1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0" xfId="0" applyFont="1" applyFill="1" applyAlignment="1" applyProtection="1">
      <alignment wrapText="1"/>
      <protection locked="0"/>
    </xf>
    <xf numFmtId="0" fontId="7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2" fillId="3" borderId="0" xfId="0" applyFont="1" applyFill="1"/>
    <xf numFmtId="49" fontId="8" fillId="4" borderId="0" xfId="0" applyNumberFormat="1" applyFont="1" applyFill="1" applyProtection="1">
      <protection locked="0"/>
    </xf>
    <xf numFmtId="49" fontId="7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6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alignment horizont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colors>
    <mruColors>
      <color rgb="FFF8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E73E54-8E6D-41F2-AD12-244D814E3AA8}" name="Table1" displayName="Table1" ref="A1:M2" insertRow="1" headerRowDxfId="15" dataDxfId="14" totalsRowDxfId="13">
  <tableColumns count="13">
    <tableColumn id="3" xr3:uid="{7CB0E269-AE30-4B0C-BD63-F695EADD3A98}" name="student_id" dataDxfId="12"/>
    <tableColumn id="1" xr3:uid="{00F4D178-3F76-44AA-9025-2A720426B696}" name="full_name" totalsRowLabel="Total" dataDxfId="11"/>
    <tableColumn id="2" xr3:uid="{BA778206-BE37-44ED-AB22-03CE872CEBDB}" name="sex" dataDxfId="10"/>
    <tableColumn id="4" xr3:uid="{A3BDD0B5-7283-4BE4-B558-0B7CF9B4DBB5}" name="marks" dataDxfId="9"/>
    <tableColumn id="5" xr3:uid="{30EE7963-3C75-4CDB-AA03-58E4811DB18D}" name="subject_code" dataDxfId="8"/>
    <tableColumn id="6" xr3:uid="{6DB79682-C99A-402D-86F2-1FE1A77F77ED}" name="subject_name" dataDxfId="7"/>
    <tableColumn id="7" xr3:uid="{07F8ECA2-AB5A-4C0A-AEE0-9BBE13CF8F00}" name="subject_short" dataDxfId="6"/>
    <tableColumn id="8" xr3:uid="{311C8BCC-A63B-4CE0-A908-D0B4F838515B}" name="centre_number" dataDxfId="5"/>
    <tableColumn id="9" xr3:uid="{4CA235DE-A399-4E91-AF77-13765AF95025}" name="school_name" dataDxfId="4"/>
    <tableColumn id="10" xr3:uid="{129E7676-9776-4462-B699-CEF8EC7D54F7}" name="ward_name" dataDxfId="3"/>
    <tableColumn id="11" xr3:uid="{9C21DDA9-C73F-4543-8FFB-3A0F0A29EB33}" name="council_name" dataDxfId="2"/>
    <tableColumn id="12" xr3:uid="{35D75879-7816-480E-8848-9A97FE60311E}" name="region_name" totalsRowFunction="count" dataDxfId="1"/>
    <tableColumn id="16" xr3:uid="{6BE6DD11-625C-43B2-A015-C3C6C1190C65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AF8-3227-4BF9-826F-94B033A74DC1}">
  <sheetPr codeName="Sheet1"/>
  <dimension ref="A1:O2"/>
  <sheetViews>
    <sheetView workbookViewId="0">
      <pane ySplit="1" topLeftCell="A2" activePane="bottomLeft" state="frozen"/>
      <selection pane="bottomLeft" activeCell="D2" sqref="D2"/>
    </sheetView>
  </sheetViews>
  <sheetFormatPr defaultRowHeight="14.25" x14ac:dyDescent="0.2"/>
  <cols>
    <col min="1" max="1" width="10.75" style="16" bestFit="1" customWidth="1"/>
    <col min="2" max="2" width="37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38.125" style="16" customWidth="1"/>
    <col min="10" max="10" width="10.8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/>
    <col min="15" max="15" width="20.125" style="16" customWidth="1"/>
    <col min="16" max="16384" width="9" style="16"/>
  </cols>
  <sheetData>
    <row r="1" spans="1:15" s="13" customFormat="1" ht="37.5" customHeight="1" x14ac:dyDescent="0.25">
      <c r="A1" s="11" t="s">
        <v>0</v>
      </c>
      <c r="B1" s="11" t="s">
        <v>1</v>
      </c>
      <c r="C1" s="11" t="s">
        <v>2</v>
      </c>
      <c r="D1" s="2" t="s">
        <v>11</v>
      </c>
      <c r="E1" s="18" t="s">
        <v>24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2" t="s">
        <v>23</v>
      </c>
      <c r="O1" s="14"/>
    </row>
    <row r="2" spans="1:15" x14ac:dyDescent="0.2">
      <c r="A2" s="15"/>
      <c r="B2" s="15"/>
      <c r="C2" s="15"/>
      <c r="D2" s="1"/>
      <c r="E2" s="19"/>
      <c r="F2" s="15"/>
      <c r="G2" s="15"/>
      <c r="H2" s="15"/>
      <c r="I2" s="15"/>
      <c r="J2" s="15"/>
      <c r="K2" s="15"/>
      <c r="L2" s="15"/>
      <c r="M2" s="15"/>
    </row>
  </sheetData>
  <sheetProtection sort="0" autoFilter="0" pivotTables="0"/>
  <phoneticPr fontId="5" type="noConversion"/>
  <dataValidations count="2">
    <dataValidation type="decimal" allowBlank="1" showDropDown="1" showInputMessage="1" showErrorMessage="1" errorTitle="ERROR IN MARKS" error="MARKS SHOULD BE IN RANGE 0 TO 100" promptTitle="MARKS" prompt="Enter marks from 0 to 100" sqref="D3:D1048576" xr:uid="{FD2CB9C4-169E-454A-9837-C30BB7AC1E98}">
      <formula1>0</formula1>
      <formula2>100</formula2>
    </dataValidation>
    <dataValidation type="decimal" allowBlank="1" showInputMessage="1" showErrorMessage="1" errorTitle="Invalid Marks" error="Only values from 0 to 100 are allowed" promptTitle="Marks Entry" prompt="Enter value between 0 and 100" sqref="D2" xr:uid="{957AA0FB-4954-434A-BC5F-817472A7E3C9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E50AF-51F8-40C2-8456-1DB3FDAFF4CC}">
          <x14:formula1>
            <xm:f>Schools!#REF!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1FE11-D356-49DA-A231-2DB7C478C639}">
  <sheetPr codeName="Sheet2"/>
  <dimension ref="A1:I6"/>
  <sheetViews>
    <sheetView workbookViewId="0">
      <selection activeCell="A2" sqref="A2"/>
    </sheetView>
  </sheetViews>
  <sheetFormatPr defaultRowHeight="14.25" x14ac:dyDescent="0.2"/>
  <cols>
    <col min="1" max="1" width="13.375" bestFit="1" customWidth="1"/>
    <col min="2" max="2" width="38.125" bestFit="1" customWidth="1"/>
    <col min="3" max="3" width="10.5" bestFit="1" customWidth="1"/>
    <col min="4" max="4" width="12.25" bestFit="1" customWidth="1"/>
    <col min="5" max="5" width="11.5" bestFit="1" customWidth="1"/>
    <col min="6" max="6" width="9.75" bestFit="1" customWidth="1"/>
    <col min="7" max="7" width="10" bestFit="1" customWidth="1"/>
    <col min="8" max="8" width="7.5" bestFit="1" customWidth="1"/>
    <col min="9" max="9" width="8.375" style="23" bestFit="1" customWidth="1"/>
  </cols>
  <sheetData>
    <row r="1" spans="1:9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19</v>
      </c>
      <c r="G1" t="s">
        <v>20</v>
      </c>
      <c r="H1" t="s">
        <v>21</v>
      </c>
      <c r="I1" s="23" t="s">
        <v>22</v>
      </c>
    </row>
    <row r="2" spans="1:9" x14ac:dyDescent="0.2">
      <c r="F2" s="4"/>
      <c r="G2" s="4"/>
      <c r="H2" s="4"/>
      <c r="I2" s="5"/>
    </row>
    <row r="3" spans="1:9" x14ac:dyDescent="0.2">
      <c r="F3" s="4"/>
      <c r="G3" s="4"/>
      <c r="H3" s="4"/>
      <c r="I3" s="5"/>
    </row>
    <row r="4" spans="1:9" x14ac:dyDescent="0.2">
      <c r="F4" s="4"/>
      <c r="G4" s="4"/>
      <c r="H4" s="4"/>
      <c r="I4" s="5"/>
    </row>
    <row r="5" spans="1:9" x14ac:dyDescent="0.2">
      <c r="F5" s="4"/>
      <c r="G5" s="4"/>
      <c r="H5" s="4"/>
      <c r="I5" s="5"/>
    </row>
    <row r="6" spans="1:9" x14ac:dyDescent="0.2">
      <c r="F6" s="4"/>
      <c r="G6" s="4"/>
      <c r="H6" s="4"/>
      <c r="I6" s="5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B8A-5A2D-41C4-9C28-AD3565397E36}">
  <sheetPr codeName="Sheet3"/>
  <dimension ref="A1:G12"/>
  <sheetViews>
    <sheetView workbookViewId="0">
      <selection activeCell="A2" sqref="A2"/>
    </sheetView>
  </sheetViews>
  <sheetFormatPr defaultRowHeight="14.25" x14ac:dyDescent="0.2"/>
  <cols>
    <col min="1" max="1" width="5.75" style="21" bestFit="1" customWidth="1"/>
    <col min="2" max="2" width="11.875" bestFit="1" customWidth="1"/>
    <col min="3" max="3" width="37.125" bestFit="1" customWidth="1"/>
    <col min="4" max="4" width="9.75" style="6" bestFit="1" customWidth="1"/>
    <col min="5" max="5" width="10" style="6" bestFit="1" customWidth="1"/>
    <col min="6" max="6" width="7.5" style="6" bestFit="1" customWidth="1"/>
    <col min="7" max="7" width="8.375" style="22" bestFit="1" customWidth="1"/>
  </cols>
  <sheetData>
    <row r="1" spans="1:7" x14ac:dyDescent="0.2">
      <c r="A1" s="21" t="s">
        <v>3</v>
      </c>
      <c r="B1" t="s">
        <v>5</v>
      </c>
      <c r="C1" t="s">
        <v>4</v>
      </c>
      <c r="D1" s="6" t="s">
        <v>19</v>
      </c>
      <c r="E1" s="6" t="s">
        <v>20</v>
      </c>
      <c r="F1" s="6" t="s">
        <v>21</v>
      </c>
      <c r="G1" s="22" t="s">
        <v>22</v>
      </c>
    </row>
    <row r="2" spans="1:7" x14ac:dyDescent="0.2">
      <c r="G2" s="7"/>
    </row>
    <row r="3" spans="1:7" x14ac:dyDescent="0.2">
      <c r="G3" s="7"/>
    </row>
    <row r="4" spans="1:7" x14ac:dyDescent="0.2">
      <c r="G4" s="7"/>
    </row>
    <row r="5" spans="1:7" x14ac:dyDescent="0.2">
      <c r="G5" s="7"/>
    </row>
    <row r="6" spans="1:7" x14ac:dyDescent="0.2">
      <c r="G6" s="7"/>
    </row>
    <row r="7" spans="1:7" x14ac:dyDescent="0.2">
      <c r="G7" s="7"/>
    </row>
    <row r="8" spans="1:7" x14ac:dyDescent="0.2">
      <c r="G8" s="7"/>
    </row>
    <row r="9" spans="1:7" x14ac:dyDescent="0.2">
      <c r="G9" s="7"/>
    </row>
    <row r="10" spans="1:7" x14ac:dyDescent="0.2">
      <c r="G10" s="7"/>
    </row>
    <row r="11" spans="1:7" x14ac:dyDescent="0.2">
      <c r="G11" s="7"/>
    </row>
    <row r="12" spans="1:7" x14ac:dyDescent="0.2">
      <c r="G12" s="7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96D2-E056-41FE-9AA5-E557B0D53E24}">
  <sheetPr codeName="Sheet5">
    <pageSetUpPr fitToPage="1"/>
  </sheetPr>
  <dimension ref="A1:H500"/>
  <sheetViews>
    <sheetView showGridLines="0" tabSelected="1" zoomScaleNormal="100" workbookViewId="0">
      <selection activeCell="C5" sqref="C5"/>
    </sheetView>
  </sheetViews>
  <sheetFormatPr defaultRowHeight="14.25" x14ac:dyDescent="0.2"/>
  <cols>
    <col min="1" max="2" width="9" style="8"/>
    <col min="3" max="3" width="13.75" style="8" customWidth="1"/>
    <col min="4" max="4" width="9" style="8"/>
    <col min="5" max="5" width="15.75" style="8" bestFit="1" customWidth="1"/>
    <col min="6" max="6" width="33.5" style="8" bestFit="1" customWidth="1"/>
    <col min="7" max="16384" width="9" style="8"/>
  </cols>
  <sheetData>
    <row r="1" spans="1:8" x14ac:dyDescent="0.2">
      <c r="A1" s="24" t="s">
        <v>25</v>
      </c>
      <c r="B1" s="24"/>
      <c r="C1" s="24"/>
      <c r="D1" s="24"/>
      <c r="E1" s="24"/>
      <c r="F1" s="24"/>
      <c r="G1" s="24"/>
      <c r="H1" s="24"/>
    </row>
    <row r="2" spans="1:8" x14ac:dyDescent="0.2">
      <c r="A2" s="24"/>
      <c r="B2" s="24"/>
      <c r="C2" s="24"/>
      <c r="D2" s="24"/>
      <c r="E2" s="24"/>
      <c r="F2" s="24"/>
      <c r="G2" s="24"/>
      <c r="H2" s="24"/>
    </row>
    <row r="3" spans="1:8" ht="15" x14ac:dyDescent="0.25">
      <c r="B3" s="25" t="s">
        <v>26</v>
      </c>
      <c r="C3" s="25"/>
      <c r="D3" s="25"/>
      <c r="E3" s="25"/>
    </row>
    <row r="5" spans="1:8" ht="15.75" x14ac:dyDescent="0.25">
      <c r="B5" s="8" t="s">
        <v>12</v>
      </c>
      <c r="C5" s="10" t="s">
        <v>27</v>
      </c>
      <c r="E5" s="17" t="s">
        <v>15</v>
      </c>
      <c r="F5" s="9" t="str">
        <f>UPPER(IFERROR(VLOOKUP(C5, Schools!A:E, 2, FALSE), ""))</f>
        <v/>
      </c>
    </row>
    <row r="6" spans="1:8" ht="15.75" x14ac:dyDescent="0.25">
      <c r="B6" s="8" t="s">
        <v>13</v>
      </c>
      <c r="C6" s="10" t="s">
        <v>29</v>
      </c>
      <c r="E6" s="17" t="s">
        <v>14</v>
      </c>
      <c r="F6" s="9" t="str">
        <f>UPPER(IFERROR(VLOOKUP(C6, Subjects!A:C, 3, FALSE), ""))</f>
        <v/>
      </c>
    </row>
    <row r="7" spans="1:8" ht="15.75" x14ac:dyDescent="0.25">
      <c r="E7" s="17" t="s">
        <v>16</v>
      </c>
      <c r="F7" s="9" t="str">
        <f>UPPER(IFERROR(VLOOKUP(C5, Schools!A:E, 5, FALSE), ""))</f>
        <v/>
      </c>
    </row>
    <row r="8" spans="1:8" ht="15.75" x14ac:dyDescent="0.25">
      <c r="E8" s="17" t="s">
        <v>17</v>
      </c>
      <c r="F8" s="9" t="str">
        <f>UPPER(IFERROR(VLOOKUP(C5, Schools!A:E, 4, FALSE), ""))</f>
        <v/>
      </c>
    </row>
    <row r="9" spans="1:8" ht="15.75" x14ac:dyDescent="0.25">
      <c r="E9" s="17" t="s">
        <v>18</v>
      </c>
      <c r="F9" s="9" t="str">
        <f>IFERROR(VLOOKUP(C5, Schools!A:E, 3, FALSE), "")</f>
        <v/>
      </c>
    </row>
    <row r="500" spans="1:1" x14ac:dyDescent="0.2">
      <c r="A500" s="8" t="s">
        <v>28</v>
      </c>
    </row>
  </sheetData>
  <sheetProtection autoFilter="0"/>
  <mergeCells count="2">
    <mergeCell ref="A1:H2"/>
    <mergeCell ref="B3:E3"/>
  </mergeCell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76AA6-7539-425F-A61C-F04CCF264CE7}">
          <x14:formula1>
            <xm:f>Schools!$A$2:$A$5001</xm:f>
          </x14:formula1>
          <xm:sqref>C5</xm:sqref>
        </x14:dataValidation>
        <x14:dataValidation type="list" allowBlank="1" showInputMessage="1" showErrorMessage="1" xr:uid="{A1147F87-9128-40A7-8F7B-1C73F78F4739}">
          <x14:formula1>
            <xm:f>Subjects!$A$2:$A$500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2025-07-15T20:08:34Z</dcterms:modified>
</cp:coreProperties>
</file>